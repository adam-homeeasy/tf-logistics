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6.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9.xml" ContentType="application/vnd.openxmlformats-officedocument.drawing+xml"/>
  <Override PartName="/xl/drawings/drawing1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Scenario detail" sheetId="3" state="visible" r:id="rId5"/>
    <sheet name="Rider types" sheetId="4" state="visible" r:id="rId6"/>
    <sheet name="Cost calculator" sheetId="5" state="visible" r:id="rId7"/>
    <sheet name="Refund rules" sheetId="6" state="visible" r:id="rId8"/>
    <sheet name="Claim rules" sheetId="7" state="visible" r:id="rId9"/>
    <sheet name="Evidence codes" sheetId="8" state="visible" r:id="rId10"/>
    <sheet name="Diner messages" sheetId="9" state="visible" r:id="rId11"/>
    <sheet name="Own rider claims" sheetId="10" state="visible" r:id="rId12"/>
    <sheet name="Crime levels" sheetId="11" state="visible" r:id="rId13"/>
    <sheet name="Decision flow" sheetId="12" state="visible" r:id="rId14"/>
    <sheet name="Look-alikes" sheetId="13" state="visible" r:id="rId15"/>
    <sheet name="Reason codes" sheetId="14" state="visible" r:id="rId16"/>
    <sheet name="Dev changes" sheetId="15" state="visible" r:id="rId17"/>
    <sheet name="uEngage asks" sheetId="16" state="visible" r:id="rId18"/>
  </sheets>
  <definedNames>
    <definedName function="false" hidden="true" localSheetId="6" name="_xlnm._FilterDatabase" vbProcedure="false">'Claim rules'!$A$4:$C$9</definedName>
    <definedName function="false" hidden="true" localSheetId="10" name="_xlnm._FilterDatabase" vbProcedure="false">'Crime levels'!$A$4:$C$7</definedName>
    <definedName function="false" hidden="true" localSheetId="14" name="_xlnm._FilterDatabase" vbProcedure="false">'Dev changes'!$A$4:$D$26</definedName>
    <definedName function="false" hidden="true" localSheetId="8" name="_xlnm._FilterDatabase" vbProcedure="false">'Diner messages'!$A$4:$C$15</definedName>
    <definedName function="false" hidden="true" localSheetId="7" name="_xlnm._FilterDatabase" vbProcedure="false">'Evidence codes'!$A$4:$C$15</definedName>
    <definedName function="false" hidden="true" localSheetId="12" name="_xlnm._FilterDatabase" vbProcedure="false">'Look-alikes'!$A$4:$C$21</definedName>
    <definedName function="false" hidden="true" localSheetId="9" name="_xlnm._FilterDatabase" vbProcedure="false">'Own rider claims'!$A$4:$B$13</definedName>
    <definedName function="false" hidden="true" localSheetId="13" name="_xlnm._FilterDatabase" vbProcedure="false">'Reason codes'!$A$4:$E$62</definedName>
    <definedName function="false" hidden="true" localSheetId="5" name="_xlnm._FilterDatabase" vbProcedure="false">'Refund rules'!$A$4:$C$9</definedName>
    <definedName function="false" hidden="true" localSheetId="3" name="_xlnm._FilterDatabase" vbProcedure="false">'Rider types'!$A$4:$E$7</definedName>
    <definedName function="false" hidden="true" localSheetId="2" name="_xlnm._FilterDatabase" vbProcedure="false">'Scenario detail'!$A$4:$N$73</definedName>
    <definedName function="false" hidden="true" localSheetId="1" name="_xlnm._FilterDatabase" vbProcedure="false">Summary!$A$4:$E$82</definedName>
    <definedName function="false" hidden="true" localSheetId="15" name="_xlnm._FilterDatabase" vbProcedure="false">'uEngage asks'!$A$4:$E$20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<sst xmlns="http://schemas.openxmlformats.org/spreadsheetml/2006/main" count="1769" uniqueCount="1131">
  <si>
    <t xml:space="preserve">uEngage delivery disputes: cancel and refund scenarios</t>
  </si>
  <si>
    <t xml:space="preserve">Source: 10_uEngage_Delivery_Dispute_Scenarios.md (Logistics folder), 30 Sep 2026.</t>
  </si>
  <si>
    <t xml:space="preserve">What this workbook covers</t>
  </si>
  <si>
    <t xml:space="preserve">• Every case where uEngage Flash (the delivery service that books riders for TF restaurants) or its rider gets something wrong, and the diner ends up with a cancelled order or needs a full or part refund.</t>
  </si>
  <si>
    <t xml:space="preserve">• Riders can be uEngage-managed or come from a partner behind Flash (Porter, Shadowfax, Rapido, Ola Logistics and others). For the diner and the restaurant it's the same thing: a uEngage task. Whether uEngage or its partner is at fault is uEngage's problem, not ours.</t>
  </si>
  <si>
    <t xml:space="preserve">• Section 9 lists look-alike cases that feel like delivery problems but aren't uEngage's fault. They matter because they're where most arguments with uEngage will start.</t>
  </si>
  <si>
    <t xml:space="preserve">• It also covers the two other ways an order can be delivered: by the restaurant's own riders (booked through Flash or not), and by another delivery company not linked to uEngage. Who pays for a mistake changes completely depending on who the rider is (section 1a).</t>
  </si>
  <si>
    <t xml:space="preserve">Ground rules (apply to every scenario)</t>
  </si>
  <si>
    <t xml:space="preserve">1. The diner never waits for uEngage. If the fault is clear, the diner gets their refund or replacement first. Getting the money back from uEngage happens afterwards, between the restaurant and uEngage.</t>
  </si>
  <si>
    <t xml:space="preserve">2. The restaurant pays the diner from held money. Each order's money sits on hold in the restaurant's Razorpay linked account until delivery + 24 hours. The refund comes out of that (refund brief, case 2). The dashboard then logs a uEngage claim with the uEngage task id.</t>
  </si>
  <si>
    <t xml:space="preserve">3. If a delivery complaint is open, the money stays on hold. Extend the transfer hold until the complaint is closed, even past delivery + 24 hours. A false "delivered" status must not release the money before we've checked (see UE-22, UE-30).</t>
  </si>
  <si>
    <t xml:space="preserve">4. The owner approves every refund (PRD, "Refund request"). TF ops collects the evidence and suggests a decision. For clear cases before pickup (UE-01, UE-02, UE-07, UE-08), the system suggests "cancel + full refund" and the owner approves with one tap.</t>
  </si>
  <si>
    <t xml:space="preserve">5. Cancel the rider in the same step as the refund (refund brief, fix for bug D6). A refunded order must never still be on its way.</t>
  </si>
  <si>
    <t xml:space="preserve">6. Evidence first, then blame. Every claim to uEngage has a task id, timestamps and proof. No proof, no claim.</t>
  </si>
  <si>
    <t xml:space="preserve">Biggest gap</t>
  </si>
  <si>
    <t xml:space="preserve">uEngage's public terms don't promise to pay for lost, damaged or stolen orders, and they exclude indirect losses. Today every claim depends on goodwill. Section 11 lists what to get in writing before scaling.</t>
  </si>
  <si>
    <t xml:space="preserve">Tabs</t>
  </si>
  <si>
    <t xml:space="preserve">Summary</t>
  </si>
  <si>
    <t xml:space="preserve">One line per scenario: 69 cases, usual diner outcome and claim</t>
  </si>
  <si>
    <t xml:space="preserve">Scenario detail</t>
  </si>
  <si>
    <t xml:space="preserve">Full card for every scenario, filterable by group, rider type and level</t>
  </si>
  <si>
    <t xml:space="preserve">Rider types</t>
  </si>
  <si>
    <t xml:space="preserve">Three kinds of rider, who carries the mistake, uEngage charges</t>
  </si>
  <si>
    <t xml:space="preserve">Cost calculator</t>
  </si>
  <si>
    <t xml:space="preserve">Works out the uEngage task charge and claim amount for any order (edit the yellow cells)</t>
  </si>
  <si>
    <t xml:space="preserve">Refund rules</t>
  </si>
  <si>
    <t xml:space="preserve">R1 to R5: what the diner gets back</t>
  </si>
  <si>
    <t xml:space="preserve">Claim rules</t>
  </si>
  <si>
    <t xml:space="preserve">C1 to C5: what the restaurant claims back</t>
  </si>
  <si>
    <t xml:space="preserve">Evidence codes</t>
  </si>
  <si>
    <t xml:space="preserve">E1 to E11</t>
  </si>
  <si>
    <t xml:space="preserve">Diner messages</t>
  </si>
  <si>
    <t xml:space="preserve">M1 to M11</t>
  </si>
  <si>
    <t xml:space="preserve">Own rider claims</t>
  </si>
  <si>
    <t xml:space="preserve">Which scenarios can still be claimed from uEngage when the rider is the restaurant's own</t>
  </si>
  <si>
    <t xml:space="preserve">Crime levels</t>
  </si>
  <si>
    <t xml:space="preserve">Levels 1 to 3 and the Level 3 steps</t>
  </si>
  <si>
    <t xml:space="preserve">Decision flow</t>
  </si>
  <si>
    <t xml:space="preserve">Step-by-step for TF ops</t>
  </si>
  <si>
    <t xml:space="preserve">Look-alikes</t>
  </si>
  <si>
    <t xml:space="preserve">Cases that are not uEngage's fault</t>
  </si>
  <si>
    <t xml:space="preserve">Reason codes</t>
  </si>
  <si>
    <t xml:space="preserve">Every reason code, the scenario it belongs to</t>
  </si>
  <si>
    <t xml:space="preserve">Dev changes</t>
  </si>
  <si>
    <t xml:space="preserve">Build items for Sovit and Pratyush</t>
  </si>
  <si>
    <t xml:space="preserve">uEngage asks</t>
  </si>
  <si>
    <t xml:space="preserve">What to get from uEngage in writing</t>
  </si>
  <si>
    <t xml:space="preserve">All scenarios at a glance</t>
  </si>
  <si>
    <t xml:space="preserve">ID</t>
  </si>
  <si>
    <t xml:space="preserve">What went wrong</t>
  </si>
  <si>
    <t xml:space="preserve">Usual diner outcome</t>
  </si>
  <si>
    <t xml:space="preserve">Claim</t>
  </si>
  <si>
    <t xml:space="preserve">Crime level</t>
  </si>
  <si>
    <t xml:space="preserve">A. Before pickup</t>
  </si>
  <si>
    <t xml:space="preserve">UE-01</t>
  </si>
  <si>
    <t xml:space="preserve">No rider found</t>
  </si>
  <si>
    <t xml:space="preserve">Cancel, full refund (or restaurant delivers itself)</t>
  </si>
  <si>
    <t xml:space="preserve">C1 if food was made, else C3</t>
  </si>
  <si>
    <t xml:space="preserve">UE-02</t>
  </si>
  <si>
    <t xml:space="preserve">Checkout said "we deliver here", then uEngage rejected the task</t>
  </si>
  <si>
    <t xml:space="preserve">Cancel, full refund</t>
  </si>
  <si>
    <t xml:space="preserve">C1 if food was made</t>
  </si>
  <si>
    <t xml:space="preserve">UE-03</t>
  </si>
  <si>
    <t xml:space="preserve">Rider cancels before pickup, no replacement in time</t>
  </si>
  <si>
    <t xml:space="preserve">Cancel, full refund, or late delivery + R3</t>
  </si>
  <si>
    <t xml:space="preserve">C1</t>
  </si>
  <si>
    <t xml:space="preserve">UE-04</t>
  </si>
  <si>
    <t xml:space="preserve">Rider assigned but never moves</t>
  </si>
  <si>
    <t xml:space="preserve">Same as UE-03</t>
  </si>
  <si>
    <t xml:space="preserve">UE-05</t>
  </si>
  <si>
    <t xml:space="preserve">Rider reaches the restaurant very late, food goes cold</t>
  </si>
  <si>
    <t xml:space="preserve">R3, or R2/R1 if food is spoiled</t>
  </si>
  <si>
    <t xml:space="preserve">UE-06</t>
  </si>
  <si>
    <t xml:space="preserve">Rider refuses the order at the counter</t>
  </si>
  <si>
    <t xml:space="preserve">Delay + R3, or cancel + R1</t>
  </si>
  <si>
    <t xml:space="preserve">UE-07</t>
  </si>
  <si>
    <t xml:space="preserve">uEngage or its partner cancels the task on its own</t>
  </si>
  <si>
    <t xml:space="preserve">Cancel, full refund, or restaurant delivers itself</t>
  </si>
  <si>
    <t xml:space="preserve">UE-08</t>
  </si>
  <si>
    <t xml:space="preserve">Partner pauses the zone for weather, strike or curfew</t>
  </si>
  <si>
    <t xml:space="preserve">C4</t>
  </si>
  <si>
    <t xml:space="preserve">B. At pickup</t>
  </si>
  <si>
    <t xml:space="preserve">UE-09</t>
  </si>
  <si>
    <t xml:space="preserve">Rider takes the wrong order</t>
  </si>
  <si>
    <t xml:space="preserve">Replacement or full refund for both diners</t>
  </si>
  <si>
    <t xml:space="preserve">UE-10</t>
  </si>
  <si>
    <t xml:space="preserve">Marked "picked up" but never collected</t>
  </si>
  <si>
    <t xml:space="preserve">Treat as UE-03</t>
  </si>
  <si>
    <t xml:space="preserve">UE-11</t>
  </si>
  <si>
    <t xml:space="preserve">Fake rider collects the order</t>
  </si>
  <si>
    <t xml:space="preserve">Replacement or full refund</t>
  </si>
  <si>
    <t xml:space="preserve">UE-12</t>
  </si>
  <si>
    <t xml:space="preserve">Rider leaves a bag behind</t>
  </si>
  <si>
    <t xml:space="preserve">Send the bag, or R2</t>
  </si>
  <si>
    <t xml:space="preserve">UE-13</t>
  </si>
  <si>
    <t xml:space="preserve">Our order is batched with other drops and arrives very late</t>
  </si>
  <si>
    <t xml:space="preserve">R3, or R4</t>
  </si>
  <si>
    <t xml:space="preserve">C. On the way</t>
  </si>
  <si>
    <t xml:space="preserve">UE-14</t>
  </si>
  <si>
    <t xml:space="preserve">Rider drops out after pickup, handover goes wrong</t>
  </si>
  <si>
    <t xml:space="preserve">R3 if delivered, R1 if lost</t>
  </si>
  <si>
    <t xml:space="preserve">UE-15</t>
  </si>
  <si>
    <t xml:space="preserve">Accident or breakdown</t>
  </si>
  <si>
    <t xml:space="preserve">R1 or replacement</t>
  </si>
  <si>
    <t xml:space="preserve">C1 (handled gently, see card)</t>
  </si>
  <si>
    <t xml:space="preserve">UE-16</t>
  </si>
  <si>
    <t xml:space="preserve">Food spilled or crushed</t>
  </si>
  <si>
    <t xml:space="preserve">R2 or R1, or replacement</t>
  </si>
  <si>
    <t xml:space="preserve">UE-17</t>
  </si>
  <si>
    <t xml:space="preserve">Food arrives cold or melted from a long ride or no bag</t>
  </si>
  <si>
    <t xml:space="preserve">R2 or R1</t>
  </si>
  <si>
    <t xml:space="preserve">UE-18</t>
  </si>
  <si>
    <t xml:space="preserve">Seal broken, food missing or eaten</t>
  </si>
  <si>
    <t xml:space="preserve">UE-19</t>
  </si>
  <si>
    <t xml:space="preserve">Rider detours or makes other stops</t>
  </si>
  <si>
    <t xml:space="preserve">UE-20</t>
  </si>
  <si>
    <t xml:space="preserve">Rider disappears with the order</t>
  </si>
  <si>
    <t xml:space="preserve">UE-21</t>
  </si>
  <si>
    <t xml:space="preserve">Rider goes to the wrong place although the address was right</t>
  </si>
  <si>
    <t xml:space="preserve">R3, or R1 if never delivered</t>
  </si>
  <si>
    <t xml:space="preserve">D. At the door</t>
  </si>
  <si>
    <t xml:space="preserve">UE-22</t>
  </si>
  <si>
    <t xml:space="preserve">Marked "delivered" but the diner didn't get it</t>
  </si>
  <si>
    <t xml:space="preserve">UE-23</t>
  </si>
  <si>
    <t xml:space="preserve">Handed to the wrong person or flat</t>
  </si>
  <si>
    <t xml:space="preserve">UE-24</t>
  </si>
  <si>
    <t xml:space="preserve">Rider says the diner didn't answer, the diner says nobody called</t>
  </si>
  <si>
    <t xml:space="preserve">R1 if the call log backs the diner</t>
  </si>
  <si>
    <t xml:space="preserve">UE-25</t>
  </si>
  <si>
    <t xml:space="preserve">Rider won't come to the gate or the usual drop point</t>
  </si>
  <si>
    <t xml:space="preserve">R1 or redelivery</t>
  </si>
  <si>
    <t xml:space="preserve">UE-26</t>
  </si>
  <si>
    <t xml:space="preserve">Rider demands extra money</t>
  </si>
  <si>
    <t xml:space="preserve">Pay back the extra (M8). R1 if the diner refused and the order went back</t>
  </si>
  <si>
    <t xml:space="preserve">UE-27</t>
  </si>
  <si>
    <t xml:space="preserve">Rude, unsafe or drunk rider, diner refuses the order</t>
  </si>
  <si>
    <t xml:space="preserve">R1, or the delivery fee back if they accepted it</t>
  </si>
  <si>
    <t xml:space="preserve">UE-28</t>
  </si>
  <si>
    <t xml:space="preserve">Left at the door or with security without being asked, then lost</t>
  </si>
  <si>
    <t xml:space="preserve">UE-29</t>
  </si>
  <si>
    <t xml:space="preserve">Wrong bag handed over from batched orders</t>
  </si>
  <si>
    <t xml:space="preserve">Replacement or R1 for both diners</t>
  </si>
  <si>
    <t xml:space="preserve">UE-30</t>
  </si>
  <si>
    <t xml:space="preserve">Rider takes the delivery OTP over the phone and marks it delivered early</t>
  </si>
  <si>
    <t xml:space="preserve">Depends on what happens next: R1 if lost</t>
  </si>
  <si>
    <t xml:space="preserve">E. After delivery</t>
  </si>
  <si>
    <t xml:space="preserve">UE-31</t>
  </si>
  <si>
    <t xml:space="preserve">Missing item, unclear if it's the kitchen's or the rider's fault</t>
  </si>
  <si>
    <t xml:space="preserve">R2</t>
  </si>
  <si>
    <t xml:space="preserve">C2</t>
  </si>
  <si>
    <t xml:space="preserve">UE-32</t>
  </si>
  <si>
    <t xml:space="preserve">Complaint after the restaurant's money was released</t>
  </si>
  <si>
    <t xml:space="preserve">Same outcome, paid via recovery</t>
  </si>
  <si>
    <t xml:space="preserve">Same as the scenario</t>
  </si>
  <si>
    <t xml:space="preserve">UE-33</t>
  </si>
  <si>
    <t xml:space="preserve">Diner's bank raises a "not received" chargeback</t>
  </si>
  <si>
    <t xml:space="preserve">Fight it or accept it</t>
  </si>
  <si>
    <t xml:space="preserve">C1 if lost</t>
  </si>
  <si>
    <t xml:space="preserve">UE-34</t>
  </si>
  <si>
    <t xml:space="preserve">Tracking wrong or frozen, diner cancels an order that's still coming</t>
  </si>
  <si>
    <t xml:space="preserve">R1 if it can't be stopped, else deliver</t>
  </si>
  <si>
    <t xml:space="preserve">F. System and status errors</t>
  </si>
  <si>
    <t xml:space="preserve">UE-35</t>
  </si>
  <si>
    <t xml:space="preserve">uEngage sends a false "cancelled", TF auto-refunds, food arrives anyway</t>
  </si>
  <si>
    <t xml:space="preserve">Diner keeps both. Money is lost</t>
  </si>
  <si>
    <t xml:space="preserve">UE-36</t>
  </si>
  <si>
    <t xml:space="preserve">"Delivered" status never reaches TF, order stuck, diner wrongly told it's late or refunded</t>
  </si>
  <si>
    <t xml:space="preserve">Case by case</t>
  </si>
  <si>
    <t xml:space="preserve">C1 if we lost money</t>
  </si>
  <si>
    <t xml:space="preserve">UE-37</t>
  </si>
  <si>
    <t xml:space="preserve">Two riders booked for one order</t>
  </si>
  <si>
    <t xml:space="preserve">No diner impact. Wallet charged twice</t>
  </si>
  <si>
    <t xml:space="preserve">C3 (reverse the duplicate)</t>
  </si>
  <si>
    <t xml:space="preserve">G. Restaurant's own rider through Flash (Type 2)</t>
  </si>
  <si>
    <t xml:space="preserve">OF-01</t>
  </si>
  <si>
    <t xml:space="preserve">Rider app crashes or stops syncing, status and tracking freeze</t>
  </si>
  <si>
    <t xml:space="preserve">Depends on what follows</t>
  </si>
  <si>
    <t xml:space="preserve">C3 (₹5), C1 if it caused a refund</t>
  </si>
  <si>
    <t xml:space="preserve">OF-02</t>
  </si>
  <si>
    <t xml:space="preserve">Flash assigns the order to an own rider who is off duty or offline</t>
  </si>
  <si>
    <t xml:space="preserve">Delay + R3, or R1</t>
  </si>
  <si>
    <t xml:space="preserve">C1 if Flash ignored the rider's offline status</t>
  </si>
  <si>
    <t xml:space="preserve">OF-03</t>
  </si>
  <si>
    <t xml:space="preserve">No own rider free, and Flash doesn't fall back to a partner rider as set up</t>
  </si>
  <si>
    <t xml:space="preserve">C1 if the fallback was switched on</t>
  </si>
  <si>
    <t xml:space="preserve">OF-04</t>
  </si>
  <si>
    <t xml:space="preserve">Fallback to a partner rider works, but costs ₹65+ instead of ₹5</t>
  </si>
  <si>
    <t xml:space="preserve">No diner impact</t>
  </si>
  <si>
    <t xml:space="preserve">C4 (it's the agreed price)</t>
  </si>
  <si>
    <t xml:space="preserve">OF-05</t>
  </si>
  <si>
    <t xml:space="preserve">Own rider loses, damages, delays or mishandles the order</t>
  </si>
  <si>
    <t xml:space="preserve">Same as the matching UE card</t>
  </si>
  <si>
    <t xml:space="preserve">C4, restaurant carries it</t>
  </si>
  <si>
    <t xml:space="preserve">OF-06</t>
  </si>
  <si>
    <t xml:space="preserve">Own rider misconduct (extra money, rude, tampering)</t>
  </si>
  <si>
    <t xml:space="preserve">Same as UE-26, UE-27, UE-18</t>
  </si>
  <si>
    <t xml:space="preserve">C4, restaurant disciplines its staff</t>
  </si>
  <si>
    <t xml:space="preserve">OF-07</t>
  </si>
  <si>
    <t xml:space="preserve">Own rider's delivery OTP or photo step fails in the Flash app</t>
  </si>
  <si>
    <t xml:space="preserve">C1 if the failure made a refund necessary</t>
  </si>
  <si>
    <t xml:space="preserve">OF-08</t>
  </si>
  <si>
    <t xml:space="preserve">Flash sends the own rider to the wrong map point</t>
  </si>
  <si>
    <t xml:space="preserve">R3, or R1</t>
  </si>
  <si>
    <t xml:space="preserve">C1 if TF sent the right pin</t>
  </si>
  <si>
    <t xml:space="preserve">H. Rider outside uEngage (Type 3)</t>
  </si>
  <si>
    <t xml:space="preserve">XP-01</t>
  </si>
  <si>
    <t xml:space="preserve">Restaurant books another company but TF still has an active uEngage task</t>
  </si>
  <si>
    <t xml:space="preserve">Two riders, wallet charged ₹65+</t>
  </si>
  <si>
    <t xml:space="preserve">C4, restaurant's own error. Cancel the uEngage task fast</t>
  </si>
  <si>
    <t xml:space="preserve">XP-02</t>
  </si>
  <si>
    <t xml:space="preserve">Outside rider loses, damages or delays the order</t>
  </si>
  <si>
    <t xml:space="preserve">C5, from that company</t>
  </si>
  <si>
    <t xml:space="preserve">XP-03</t>
  </si>
  <si>
    <t xml:space="preserve">TF never gets "picked up" or "delivered", diner sees a stuck order</t>
  </si>
  <si>
    <t xml:space="preserve">Diner calls, may cancel</t>
  </si>
  <si>
    <t xml:space="preserve">C4 / C5</t>
  </si>
  <si>
    <t xml:space="preserve">XP-04</t>
  </si>
  <si>
    <t xml:space="preserve">Money stays on hold forever, or releases too early, because there's no delivered time</t>
  </si>
  <si>
    <t xml:space="preserve">None</t>
  </si>
  <si>
    <t xml:space="preserve">XP-05</t>
  </si>
  <si>
    <t xml:space="preserve">Chargeback with no delivery proof</t>
  </si>
  <si>
    <t xml:space="preserve">Likely lose</t>
  </si>
  <si>
    <t xml:space="preserve">C5 if the company can give proof, else restaurant</t>
  </si>
  <si>
    <t xml:space="preserve">XP-06</t>
  </si>
  <si>
    <t xml:space="preserve">Outside company charges more than the diner's delivery fee, or charges on a cancel</t>
  </si>
  <si>
    <t xml:space="preserve">Restaurant and that company</t>
  </si>
  <si>
    <t xml:space="preserve">XP-07</t>
  </si>
  <si>
    <t xml:space="preserve">Restaurant's own rider delivers without Flash and no one records it</t>
  </si>
  <si>
    <t xml:space="preserve">Same as XP-03 and XP-05</t>
  </si>
  <si>
    <t xml:space="preserve">I. Rider behaviour bordering on crime (any rider type)</t>
  </si>
  <si>
    <t xml:space="preserve">CR-01</t>
  </si>
  <si>
    <t xml:space="preserve">Threatens the diner to pay extra</t>
  </si>
  <si>
    <t xml:space="preserve">R1 + pay back any extra. Level 2 or 3</t>
  </si>
  <si>
    <t xml:space="preserve">C1 + formal complaint</t>
  </si>
  <si>
    <t xml:space="preserve">2 or 3</t>
  </si>
  <si>
    <t xml:space="preserve">CR-02</t>
  </si>
  <si>
    <t xml:space="preserve">Deliberately steals the order</t>
  </si>
  <si>
    <t xml:space="preserve">R1 or replacement. Level 2</t>
  </si>
  <si>
    <t xml:space="preserve">2</t>
  </si>
  <si>
    <t xml:space="preserve">CR-03</t>
  </si>
  <si>
    <t xml:space="preserve">Contaminates the food on purpose</t>
  </si>
  <si>
    <t xml:space="preserve">R1, medical help if needed. Level 3</t>
  </si>
  <si>
    <t xml:space="preserve">3</t>
  </si>
  <si>
    <t xml:space="preserve">CR-04</t>
  </si>
  <si>
    <t xml:space="preserve">Drunk or high on duty</t>
  </si>
  <si>
    <t xml:space="preserve">R1 if refused. Level 2</t>
  </si>
  <si>
    <t xml:space="preserve">CR-05</t>
  </si>
  <si>
    <t xml:space="preserve">Verbal abuse, slurs, intimidation</t>
  </si>
  <si>
    <t xml:space="preserve">R1 if refused, else fee back. Level 2 or 3</t>
  </si>
  <si>
    <t xml:space="preserve">CR-06</t>
  </si>
  <si>
    <t xml:space="preserve">Sexual harassment at the door</t>
  </si>
  <si>
    <t xml:space="preserve">R1 + Level 3 steps</t>
  </si>
  <si>
    <t xml:space="preserve">CR-07</t>
  </si>
  <si>
    <t xml:space="preserve">Physical assault</t>
  </si>
  <si>
    <t xml:space="preserve">112, R1 + Level 3 steps</t>
  </si>
  <si>
    <t xml:space="preserve">CR-08</t>
  </si>
  <si>
    <t xml:space="preserve">Tries to get into the home</t>
  </si>
  <si>
    <t xml:space="preserve">CR-09</t>
  </si>
  <si>
    <t xml:space="preserve">Contacts the diner after delivery</t>
  </si>
  <si>
    <t xml:space="preserve">R1 + Level 3 steps, data breach check</t>
  </si>
  <si>
    <t xml:space="preserve">CR-10</t>
  </si>
  <si>
    <t xml:space="preserve">Comes back to the address or follows the diner</t>
  </si>
  <si>
    <t xml:space="preserve">CR-11</t>
  </si>
  <si>
    <t xml:space="preserve">Damages property</t>
  </si>
  <si>
    <t xml:space="preserve">R1 if the order was affected. Level 2</t>
  </si>
  <si>
    <t xml:space="preserve">CR-12</t>
  </si>
  <si>
    <t xml:space="preserve">Payment trick at the door</t>
  </si>
  <si>
    <t xml:space="preserve">Pay back what was paid, M11. Level 2</t>
  </si>
  <si>
    <t xml:space="preserve">CR-13</t>
  </si>
  <si>
    <t xml:space="preserve">Someone pretends to be the rider</t>
  </si>
  <si>
    <t xml:space="preserve">R1 or replacement, Level 3 if unsafe</t>
  </si>
  <si>
    <t xml:space="preserve">CR-14</t>
  </si>
  <si>
    <t xml:space="preserve">Threatens or attacks restaurant staff</t>
  </si>
  <si>
    <t xml:space="preserve">Reassign or R1. Level 3</t>
  </si>
  <si>
    <t xml:space="preserve">CR-15</t>
  </si>
  <si>
    <t xml:space="preserve">Shares or photographs the diner or home</t>
  </si>
  <si>
    <t xml:space="preserve">CR-16</t>
  </si>
  <si>
    <t xml:space="preserve">Anything involving a child</t>
  </si>
  <si>
    <t xml:space="preserve">R1 + Level 3 steps, police report is required</t>
  </si>
  <si>
    <t xml:space="preserve">CR-17</t>
  </si>
  <si>
    <t xml:space="preserve">Complaint can't be checked or looks false</t>
  </si>
  <si>
    <t xml:space="preserve">Level 3: still R1. Level 2: refund, no block on that alone</t>
  </si>
  <si>
    <t xml:space="preserve">Scenario cards</t>
  </si>
  <si>
    <t xml:space="preserve">Source: 10_uEngage_Delivery_Dispute_Scenarios.md (Logistics folder), 30 Sep 2026. Level 3 rows shaded dark, Level 2 light.</t>
  </si>
  <si>
    <t xml:space="preserve">Group</t>
  </si>
  <si>
    <t xml:space="preserve">Rider type</t>
  </si>
  <si>
    <t xml:space="preserve">Scenario</t>
  </si>
  <si>
    <t xml:space="preserve">Level</t>
  </si>
  <si>
    <t xml:space="preserve">What happens</t>
  </si>
  <si>
    <t xml:space="preserve">How we find out</t>
  </si>
  <si>
    <t xml:space="preserve">Evidence to check</t>
  </si>
  <si>
    <t xml:space="preserve">Outcome for the diner</t>
  </si>
  <si>
    <t xml:space="preserve">Diner message</t>
  </si>
  <si>
    <t xml:space="preserve">System / reason code</t>
  </si>
  <si>
    <t xml:space="preserve">Reason code</t>
  </si>
  <si>
    <t xml:space="preserve">Handling notes</t>
  </si>
  <si>
    <t xml:space="preserve">A. Before pickup (booking and rider assignment)</t>
  </si>
  <si>
    <t xml:space="preserve">Type 1: uEngage partner rider</t>
  </si>
  <si>
    <t xml:space="preserve">No rider found after the order is accepted</t>
  </si>
  <si>
    <t xml:space="preserve">the restaurant accepts and starts cooking, then Flash can't assign any rider (in-house or partner).</t>
  </si>
  <si>
    <t xml:space="preserve">no assigned status within X minutes of task creation (set to 10 minutes), or uEngage returns "no rider".</t>
  </si>
  <si>
    <t xml:space="preserve">E1, E7.</t>
  </si>
  <si>
    <t xml:space="preserve">delivery policy section 7. The restaurant delivers itself if it can, otherwise cancel + R1.</t>
  </si>
  <si>
    <t xml:space="preserve">C1 if food was already made (claim the food cost + any charge). C3 if cooking hadn't started.</t>
  </si>
  <si>
    <t xml:space="preserve">M2 while retrying, then M1 if cancelled.</t>
  </si>
  <si>
    <t xml:space="preserve">retry assignment twice, then alert the kitchen screen + owner WhatsApp: "No rider for order N. Deliver yourself or cancel?" Cancel = cancelTask + full refund in one step. Reason code DLV_NO_RIDER.</t>
  </si>
  <si>
    <t xml:space="preserve">DLV_NO_RIDER</t>
  </si>
  <si>
    <t xml:space="preserve">Checkout said "we deliver here", then uEngage rejects the task</t>
  </si>
  <si>
    <t xml:space="preserve">getServiceability said yes at checkout, but createTask after payment fails with "out of zone" or "not serviceable".</t>
  </si>
  <si>
    <t xml:space="preserve">error on createTask in dispatchOne.</t>
  </si>
  <si>
    <t xml:space="preserve">E1, the serviceability reply saved at checkout (save it, with a timestamp).</t>
  </si>
  <si>
    <t xml:space="preserve">cancel + R1, or the restaurant delivers itself.</t>
  </si>
  <si>
    <t xml:space="preserve">C1 if food was made, because uEngage's own check said yes.</t>
  </si>
  <si>
    <t xml:space="preserve">M1.</t>
  </si>
  <si>
    <t xml:space="preserve">save the serviceability reply on the order. Reason code DLV_SERVICEABILITY_MISMATCH.</t>
  </si>
  <si>
    <t xml:space="preserve">DLV_SERVICEABILITY_MISMATCH</t>
  </si>
  <si>
    <t xml:space="preserve">Rider cancels before pickup and no one else comes in time</t>
  </si>
  <si>
    <t xml:space="preserve">a rider accepts and then drops out. Flash promises instant reassignment, but the new rider is very late or never comes.</t>
  </si>
  <si>
    <t xml:space="preserve">E1 shows assigned then rider_cancelled, one or more times.</t>
  </si>
  <si>
    <t xml:space="preserve">E1, E7 (was the food ready and waiting?).</t>
  </si>
  <si>
    <t xml:space="preserve">if a rider still comes, deliver + R3 if late. If none comes within 30 minutes of food ready, cancel + R1.</t>
  </si>
  <si>
    <t xml:space="preserve">C1.</t>
  </si>
  <si>
    <t xml:space="preserve">M2, then M7 or M1.</t>
  </si>
  <si>
    <t xml:space="preserve">count rider drop-outs per task and show them on the order. Reason code DLV_RIDER_CANCELLED_PRE_PICKUP.</t>
  </si>
  <si>
    <t xml:space="preserve">DLV_RIDER_CANCELLED_PRE_PICKUP</t>
  </si>
  <si>
    <t xml:space="preserve">Ghost rider: assigned but never moves</t>
  </si>
  <si>
    <t xml:space="preserve">the status says "assigned" but the rider's GPS doesn't move towards the restaurant.</t>
  </si>
  <si>
    <t xml:space="preserve">ETA to the restaurant keeps growing. The kitchen sees no rider.</t>
  </si>
  <si>
    <t xml:space="preserve">E1, E2, E6.</t>
  </si>
  <si>
    <t xml:space="preserve">ask uEngage to reassign after 10 minutes of no movement. After that, same as UE-03.</t>
  </si>
  <si>
    <t xml:space="preserve">M2.</t>
  </si>
  <si>
    <t xml:space="preserve">flag "rider not moving" when the GPS is still for 8 minutes after assignment. Reason code DLV_RIDER_NOT_MOVING.</t>
  </si>
  <si>
    <t xml:space="preserve">DLV_RIDER_NOT_MOVING</t>
  </si>
  <si>
    <t xml:space="preserve">Rider reaches the restaurant very late and the food goes cold</t>
  </si>
  <si>
    <t xml:space="preserve">food is ready on time, but the rider arrives 20+ minutes later. Fries go soggy, ice cream melts, the diner complains about "quality".</t>
  </si>
  <si>
    <t xml:space="preserve">diner complaint about food quality + E1/E7 show a long gap between "ready" and "reached pickup".</t>
  </si>
  <si>
    <t xml:space="preserve">E1, E7, E9. This is the case most often wrongly blamed on the kitchen.</t>
  </si>
  <si>
    <t xml:space="preserve">R3 as standard. R2 or R1 if the food is visibly spoiled (photo).</t>
  </si>
  <si>
    <t xml:space="preserve">C1. Evidence: ready time vs rider arrival time.</t>
  </si>
  <si>
    <t xml:space="preserve">M7 or M4.</t>
  </si>
  <si>
    <t xml:space="preserve">record "rider wait time" (ready to pickup) on every order. Reason code DLV_LATE_PICKUP.</t>
  </si>
  <si>
    <t xml:space="preserve">DLV_LATE_PICKUP</t>
  </si>
  <si>
    <t xml:space="preserve">the rider turns up and won't take the order: too big, too heavy, no bag, "too far", or wants extra cash from the restaurant.</t>
  </si>
  <si>
    <t xml:space="preserve">restaurant reports it. E1 may show a rider cancel after reached_pickup.</t>
  </si>
  <si>
    <t xml:space="preserve">E1, E6, restaurant's note.</t>
  </si>
  <si>
    <t xml:space="preserve">reassign. If late, R3. If nobody comes within 30 minutes, cancel + R1.</t>
  </si>
  <si>
    <t xml:space="preserve">C1. Report the rider (E6).</t>
  </si>
  <si>
    <t xml:space="preserve">"Rider refused" button on the kitchen screen that notes the reason and triggers reassignment. Reason code DLV_RIDER_REFUSED.</t>
  </si>
  <si>
    <t xml:space="preserve">DLV_RIDER_REFUSED</t>
  </si>
  <si>
    <t xml:space="preserve">the task is cancelled by uEngage (timeout, partner SLA breach, partner pulled out) without anyone at TF or the restaurant asking for it. Sometimes no webhook is sent, so nobody knows until the diner calls.</t>
  </si>
  <si>
    <t xml:space="preserve">cancelled webhook without a TF request, or a status check finds the task cancelled.</t>
  </si>
  <si>
    <t xml:space="preserve">E1 (who cancelled and why).</t>
  </si>
  <si>
    <t xml:space="preserve">rebook straight away if the food is still good. Otherwise the restaurant delivers itself, or cancel + R1.</t>
  </si>
  <si>
    <t xml:space="preserve">M2, then M1 or M3.</t>
  </si>
  <si>
    <t xml:space="preserve">poll the status of any task with no update in 10 minutes. Treat any cancel TF didn't request as an alert, never as an automatic refund (see UE-35). Reason code DLV_PROVIDER_CANCELLED.</t>
  </si>
  <si>
    <t xml:space="preserve">DLV_PROVIDER_CANCELLED</t>
  </si>
  <si>
    <t xml:space="preserve">Delivery partner pauses a zone for weather, a strike or a curfew</t>
  </si>
  <si>
    <t xml:space="preserve">after the order is booked, riders stop running in that area.</t>
  </si>
  <si>
    <t xml:space="preserve">delivery policy section 13: R1 if we can't deliver.</t>
  </si>
  <si>
    <t xml:space="preserve">C4. Nobody's fault. Ask uEngage to reverse any task charge.</t>
  </si>
  <si>
    <t xml:space="preserve">M1 or M3.</t>
  </si>
  <si>
    <t xml:space="preserve">reason code DLV_FORCE_MAJEURE. Pause delivery for that restaurant on the ordering page until riders are back.</t>
  </si>
  <si>
    <t xml:space="preserve">DLV_FORCE_MAJEURE</t>
  </si>
  <si>
    <t xml:space="preserve">Rider picks up the wrong order</t>
  </si>
  <si>
    <t xml:space="preserve">two riders at the same counter, or one rider with two orders, take each other's bags. Two diners get the wrong food.</t>
  </si>
  <si>
    <t xml:space="preserve">diner says "this isn't my order" with a photo.</t>
  </si>
  <si>
    <t xml:space="preserve">E3 (the pickup OTP/photo should show which bag), E8, E9.</t>
  </si>
  <si>
    <t xml:space="preserve">both diners get a replacement (R5) or R1.</t>
  </si>
  <si>
    <t xml:space="preserve">C1, if the pickup photo or OTP shows the rider took the wrong bag. If the restaurant handed over the wrong bag (the rider showed the right OTP), it's the restaurant's fault (section 9).</t>
  </si>
  <si>
    <t xml:space="preserve">M5 or M3.</t>
  </si>
  <si>
    <t xml:space="preserve">print the order number and diner's first name large on every bag. Reason code DLV_WRONG_PICKUP.</t>
  </si>
  <si>
    <t xml:space="preserve">DLV_WRONG_PICKUP</t>
  </si>
  <si>
    <t xml:space="preserve">Rider marks "picked up" but never collected the food</t>
  </si>
  <si>
    <t xml:space="preserve">the status says picked up, but the bag is still on the counter.</t>
  </si>
  <si>
    <t xml:space="preserve">restaurant sees the bag. E2 shows the rider wasn't at the restaurant.</t>
  </si>
  <si>
    <t xml:space="preserve">E1, E2, E3 (no valid photo).</t>
  </si>
  <si>
    <t xml:space="preserve">treat as UE-03.</t>
  </si>
  <si>
    <t xml:space="preserve">C1. Flag it as possible rider fraud.</t>
  </si>
  <si>
    <t xml:space="preserve">reason code DLV_FAKE_PICKUP.</t>
  </si>
  <si>
    <t xml:space="preserve">DLV_FAKE_PICKUP</t>
  </si>
  <si>
    <t xml:space="preserve">Someone else collects the order</t>
  </si>
  <si>
    <t xml:space="preserve">someone claiming to be the rider takes the bag, maybe by reading out an order number. The real rider arrives later.</t>
  </si>
  <si>
    <t xml:space="preserve">E3 (who entered the pickup OTP), E6, restaurant CCTV if it has it.</t>
  </si>
  <si>
    <t xml:space="preserve">replacement (R5) or R1.</t>
  </si>
  <si>
    <t xml:space="preserve">C1 if the pickup OTP was checked and uEngage's system let it through. If the restaurant skipped the OTP, it's the restaurant's fault (section 9).</t>
  </si>
  <si>
    <t xml:space="preserve">the kitchen screen must require the pickup OTP before marking "handed over". Reason code DLV_IMPOSTER_PICKUP.</t>
  </si>
  <si>
    <t xml:space="preserve">DLV_IMPOSTER_PICKUP</t>
  </si>
  <si>
    <t xml:space="preserve">an order has 2+ bags, and the rider takes only one.</t>
  </si>
  <si>
    <t xml:space="preserve">diner reports missing items. Restaurant finds a bag on the counter.</t>
  </si>
  <si>
    <t xml:space="preserve">E8 (bag count at handover), E3.</t>
  </si>
  <si>
    <t xml:space="preserve">send the missing bag with a new task if it's still good, otherwise R2.</t>
  </si>
  <si>
    <t xml:space="preserve">C1 (the second task + any refund), if E8 shows the full bag count was handed over.</t>
  </si>
  <si>
    <t xml:space="preserve">M5 or M4.</t>
  </si>
  <si>
    <t xml:space="preserve">show the bag count on the pickup screen. The rider confirms the count. Reason code DLV_PARTIAL_PICKUP.</t>
  </si>
  <si>
    <t xml:space="preserve">DLV_PARTIAL_PICKUP</t>
  </si>
  <si>
    <t xml:space="preserve">Our order gets batched with other drops and arrives very late</t>
  </si>
  <si>
    <t xml:space="preserve">Flash's "order clubbing" or the partner rider carries several orders. Ours is the last drop and arrives very late and cold.</t>
  </si>
  <si>
    <t xml:space="preserve">E1, E2 (stops before ours).</t>
  </si>
  <si>
    <t xml:space="preserve">R3. R4 if the diner refuses it.</t>
  </si>
  <si>
    <t xml:space="preserve">M7.</t>
  </si>
  <si>
    <t xml:space="preserve">ask uEngage to switch off clubbing for TF restaurants, or cap it at 1 other drop. Reason code DLV_BATCHED_LATE.</t>
  </si>
  <si>
    <t xml:space="preserve">DLV_BATCHED_LATE</t>
  </si>
  <si>
    <t xml:space="preserve">Rider drops out after pickup and the handover to a new rider goes wrong</t>
  </si>
  <si>
    <t xml:space="preserve">the first rider cancels mid-route. Flash reassigns, but the food has to be handed from rider to rider, or goes back to the restaurant, or gets lost in between.</t>
  </si>
  <si>
    <t xml:space="preserve">E1 (two riders on one task), E2, E6 for both riders.</t>
  </si>
  <si>
    <t xml:space="preserve">if it arrives late, R3. If it's lost or spoiled, R1 or replacement.</t>
  </si>
  <si>
    <t xml:space="preserve">M2, then M7, M3 or M5.</t>
  </si>
  <si>
    <t xml:space="preserve">reason code DLV_RIDER_CANCELLED_POST_PICKUP.</t>
  </si>
  <si>
    <t xml:space="preserve">DLV_RIDER_CANCELLED_POST_PICKUP</t>
  </si>
  <si>
    <t xml:space="preserve">Accident or vehicle breakdown</t>
  </si>
  <si>
    <t xml:space="preserve">the rider has an accident or the bike breaks down. The food is lost or very late.</t>
  </si>
  <si>
    <t xml:space="preserve">R1 or replacement.</t>
  </si>
  <si>
    <t xml:space="preserve">C1 (the diner shouldn't pay for this, and the restaurant shouldn't either). Raise it gently and later.</t>
  </si>
  <si>
    <t xml:space="preserve">M3 or M5. Don't mention the accident to the diner. Say "a problem on the way".</t>
  </si>
  <si>
    <t xml:space="preserve">reason code DLV_ACCIDENT_BREAKDOWN.</t>
  </si>
  <si>
    <t xml:space="preserve">DLV_ACCIDENT_BREAKDOWN</t>
  </si>
  <si>
    <t xml:space="preserve">check the rider is okay first. Don't argue about blame on the day.</t>
  </si>
  <si>
    <t xml:space="preserve">Food spilled or crushed from rough handling</t>
  </si>
  <si>
    <t xml:space="preserve">curry leaks, a cake is crushed, a drink spills. The bag was sealed and fine at handover.</t>
  </si>
  <si>
    <t xml:space="preserve">E8 (sealed, upright), E9 (photo at the door), E4 (the drop photo sometimes shows the damage).</t>
  </si>
  <si>
    <t xml:space="preserve">R2 for what's damaged, R1 if most of it is ruined, or replacement.</t>
  </si>
  <si>
    <t xml:space="preserve">C1 if E8 shows good packing. If the packaging itself failed (lid not snapped on, thin container), it's the restaurant's fault (section 9).</t>
  </si>
  <si>
    <t xml:space="preserve">M4, M3 or M5.</t>
  </si>
  <si>
    <t xml:space="preserve">reason code DLV_SPILL_DAMAGE.</t>
  </si>
  <si>
    <t xml:space="preserve">DLV_SPILL_DAMAGE</t>
  </si>
  <si>
    <t xml:space="preserve">the rider has no insulated bag, or the ride took too long. Ice cream melts, hot food arrives cold.</t>
  </si>
  <si>
    <t xml:space="preserve">E1/E2 (ride time), E9, E6 (bag noted at pickup?).</t>
  </si>
  <si>
    <t xml:space="preserve">R2 for the items affected, R1 if the whole order is unusable.</t>
  </si>
  <si>
    <t xml:space="preserve">the restaurant can tick "rider has no delivery bag" at pickup, which is sent to uEngage. Reason code DLV_TEMPERATURE.</t>
  </si>
  <si>
    <t xml:space="preserve">DLV_TEMPERATURE</t>
  </si>
  <si>
    <t xml:space="preserve">the diner gets a bag with a torn seal, missing items or food that's clearly been touched.</t>
  </si>
  <si>
    <t xml:space="preserve">E8 (sealed at handover), E9 (photo of the broken seal), E6.</t>
  </si>
  <si>
    <t xml:space="preserve">R1 or replacement. Food safety comes first: never ask the diner to eat the rest.</t>
  </si>
  <si>
    <t xml:space="preserve">C1. Report the rider for tampering.</t>
  </si>
  <si>
    <t xml:space="preserve">M3 or M5.</t>
  </si>
  <si>
    <t xml:space="preserve">reason code DLV_TAMPERED. Three reports against the same rider means ask uEngage to block them from TF orders.</t>
  </si>
  <si>
    <t xml:space="preserve">DLV_TAMPERED</t>
  </si>
  <si>
    <t xml:space="preserve">(food eaten, spat in or spiked), it's no longer this card. See CR-02 or CR-03.</t>
  </si>
  <si>
    <t xml:space="preserve">GPS shows the rider went somewhere else first (personal stop, another platform's order).</t>
  </si>
  <si>
    <t xml:space="preserve">E2.</t>
  </si>
  <si>
    <t xml:space="preserve">R3, or R4.</t>
  </si>
  <si>
    <t xml:space="preserve">reason code DLV_DETOUR.</t>
  </si>
  <si>
    <t xml:space="preserve">DLV_DETOUR</t>
  </si>
  <si>
    <t xml:space="preserve">picked up, then no movement, phone off, never delivered.</t>
  </si>
  <si>
    <t xml:space="preserve">E1, E2, E5, E6.</t>
  </si>
  <si>
    <t xml:space="preserve">after 30 minutes past the ETA with no contact, R1 or replacement. Don't make the diner wait for uEngage to find the rider.</t>
  </si>
  <si>
    <t xml:space="preserve">M6, then M3 or M5.</t>
  </si>
  <si>
    <t xml:space="preserve">reason code DLV_RIDER_ABSCONDED.</t>
  </si>
  <si>
    <t xml:space="preserve">DLV_RIDER_ABSCONDED</t>
  </si>
  <si>
    <t xml:space="preserve">Rider goes to the wrong place although the address and pin were right</t>
  </si>
  <si>
    <t xml:space="preserve">the diner's address and pin are correct, but the rider goes to a different building or area, maybe because uEngage turned the address into the wrong map point.</t>
  </si>
  <si>
    <t xml:space="preserve">the address and pin TF sent (save the exact request), E2, E4.</t>
  </si>
  <si>
    <t xml:space="preserve">if the rider fixes it and delivers late, R3. If never delivered, R1 or replacement.</t>
  </si>
  <si>
    <t xml:space="preserve">C1 if TF sent the right pin. If TF sent wrong coordinates, that's TF's fault (section 9).</t>
  </si>
  <si>
    <t xml:space="preserve">always send the diner's pin coordinates to uEngage, not just the text address. Reason code DLV_WRONG_LOCATION.</t>
  </si>
  <si>
    <t xml:space="preserve">DLV_WRONG_LOCATION</t>
  </si>
  <si>
    <t xml:space="preserve">the status says delivered, the diner says nothing came. This is the most common delivery dispute.</t>
  </si>
  <si>
    <t xml:space="preserve">E4 (was the delivery OTP entered, is there a drop photo, where was the drop GPS point?), E2, E5.</t>
  </si>
  <si>
    <t xml:space="preserve">• No OTP, no photo, or the drop point is far from the address: uEngage's fault. R1 or replacement, C1.
• OTP entered by the diner and the photo shows the door: the diner probably got it. Share the proof politely. No refund. If they push, see UE-33.
• OTP entered but the rider was never near the address: see UE-30.</t>
  </si>
  <si>
    <t xml:space="preserve">M6 first, then M3/M5, or the proof.</t>
  </si>
  <si>
    <t xml:space="preserve">keep the money on hold until this is closed (rule 3). Reason code DLV_FALSE_DELIVERED.</t>
  </si>
  <si>
    <t xml:space="preserve">DLV_FALSE_DELIVERED</t>
  </si>
  <si>
    <t xml:space="preserve">the order is left with a neighbour, another flat, or someone at the gate who isn't the diner.</t>
  </si>
  <si>
    <t xml:space="preserve">E4 (drop photo shows the wrong door), E2, E5.</t>
  </si>
  <si>
    <t xml:space="preserve">try to get it back (the neighbour may have it). If not within 20 minutes, R1 or replacement.</t>
  </si>
  <si>
    <t xml:space="preserve">reason code DLV_WRONG_HANDOVER.</t>
  </si>
  <si>
    <t xml:space="preserve">DLV_WRONG_HANDOVER</t>
  </si>
  <si>
    <t xml:space="preserve">the rider marks "customer unreachable" and the food goes back. Our delivery policy says there may be no refund after two failed calls, so this turns into a dispute.</t>
  </si>
  <si>
    <t xml:space="preserve">E5 is the judge. E2 (was the rider actually at the address when calling?).</t>
  </si>
  <si>
    <t xml:space="preserve">• Fewer than 2 calls, calls under 20 seconds, or the rider was far from the address: rider's fault. R1 or redelivery at no cost, C1.
• 2+ proper calls from the address: diner's side (section 9). No refund, as the policy says. Offer redelivery with a new delivery fee.</t>
  </si>
  <si>
    <t xml:space="preserve">M3/M5, or explain with the call times.</t>
  </si>
  <si>
    <t xml:space="preserve">reason code DLV_UNREACHABLE_DISPUTED.</t>
  </si>
  <si>
    <t xml:space="preserve">DLV_UNREACHABLE_DISPUTED</t>
  </si>
  <si>
    <t xml:space="preserve">the rider asks the diner to walk far, won't enter an open society gate, or won't go to the usual drop point. The diner refuses and the order goes back.</t>
  </si>
  <si>
    <t xml:space="preserve">E2, E5, E10. Is the building actually closed to riders? (Delivery policy section 2 and section 9.)</t>
  </si>
  <si>
    <t xml:space="preserve">if the building allows riders and the rider still wouldn't go, R1 or redelivery, C1. If the building doesn't allow riders and the diner was told, it's not uEngage's fault.</t>
  </si>
  <si>
    <t xml:space="preserve">reason code DLV_REFUSED_LAST_MILE.</t>
  </si>
  <si>
    <t xml:space="preserve">DLV_REFUSED_LAST_MILE</t>
  </si>
  <si>
    <t xml:space="preserve">the rider asks for a "rain charge", "long distance", "floor charge" or a tip. Either the diner pays it, or refuses and the rider holds back the food.</t>
  </si>
  <si>
    <t xml:space="preserve">E10, E5, E6.</t>
  </si>
  <si>
    <t xml:space="preserve">• Diner paid extra: pay back exactly that amount as a goodwill refund on the order (M8). It can't come back from the rider through Razorpay, so the restaurant pays it and claims it.
• Diner refused and the rider left with the food: R1 or replacement.</t>
  </si>
  <si>
    <t xml:space="preserve">C1 + report the rider. This goes against our "nothing extra at the door" promise, so it's serious.</t>
  </si>
  <si>
    <t xml:space="preserve">reason code DLV_EXTRA_CASH_DEMANDED.</t>
  </si>
  <si>
    <t xml:space="preserve">DLV_EXTRA_CASH_DEMANDED</t>
  </si>
  <si>
    <t xml:space="preserve">see CR-01 or CR-12.</t>
  </si>
  <si>
    <t xml:space="preserve">Rude, unsafe or drunk rider</t>
  </si>
  <si>
    <t xml:space="preserve">the diner feels unsafe or is abused. They refuse the order, or accept it but complain.</t>
  </si>
  <si>
    <t xml:space="preserve">refused: R1. Accepted but complained: refund the delivery fee (R3 amount) as an apology.</t>
  </si>
  <si>
    <t xml:space="preserve">C1 + report the rider (E6) and ask uEngage to block them from TF orders.</t>
  </si>
  <si>
    <t xml:space="preserve">reason code DLV_RIDER_CONDUCT.</t>
  </si>
  <si>
    <t xml:space="preserve">DLV_RIDER_CONDUCT</t>
  </si>
  <si>
    <t xml:space="preserve">take the diner's word on safety. Don't ask them to prove it.
(rude, careless). Drunk, abusive, threatening or anything worse: see section 7I (CR-04 to CR-08).</t>
  </si>
  <si>
    <t xml:space="preserve">the diner didn't ask for contactless. The rider leaves it at the gate or door anyway, and it goes missing.</t>
  </si>
  <si>
    <t xml:space="preserve">order note (did the diner ask for contactless?), E4, E5.</t>
  </si>
  <si>
    <t xml:space="preserve">no contactless request: R1 or replacement, C1. Contactless requested and left as asked: counts as delivered (delivery policy section 9), no refund.</t>
  </si>
  <si>
    <t xml:space="preserve">reason code DLV_UNAUTHORISED_DROP.</t>
  </si>
  <si>
    <t xml:space="preserve">DLV_UNAUTHORISED_DROP</t>
  </si>
  <si>
    <t xml:space="preserve">the rider carries several orders and hands the diner someone else's bag.</t>
  </si>
  <si>
    <t xml:space="preserve">both diners: replacement or R1.</t>
  </si>
  <si>
    <t xml:space="preserve">same bag labels as UE-09. Reason code DLV_WRONG_BAG_BATCHED.</t>
  </si>
  <si>
    <t xml:space="preserve">DLV_WRONG_BAG_BATCHED</t>
  </si>
  <si>
    <t xml:space="preserve">the rider calls, asks for the OTP "to find the house", enters it and marks delivered before arriving. Then the order is late, lost or never arrives.</t>
  </si>
  <si>
    <t xml:space="preserve">E4 (drop GPS point vs address), E2, E5 (call right before the OTP was entered).</t>
  </si>
  <si>
    <t xml:space="preserve">if it never arrives: R1 or replacement. If it arrives late: R3.</t>
  </si>
  <si>
    <t xml:space="preserve">C1. OTP misuse.</t>
  </si>
  <si>
    <t xml:space="preserve">tell diners in the tracking message: "Share your OTP only when the food is in your hand." Reason code DLV_OTP_MISUSE.</t>
  </si>
  <si>
    <t xml:space="preserve">DLV_OTP_MISUSE</t>
  </si>
  <si>
    <t xml:space="preserve">one item is missing, the seal looks fine or there was no seal, and the restaurant says it was packed.</t>
  </si>
  <si>
    <t xml:space="preserve">E8 (photo of items before sealing, if taken), E9, E3.</t>
  </si>
  <si>
    <t xml:space="preserve">R2 for the diner in all cases.</t>
  </si>
  <si>
    <t xml:space="preserve">C2 (split), unless E8 proves it was packed (then C1) or there's no seal/handover photo (then the restaurant carries it).</t>
  </si>
  <si>
    <t xml:space="preserve">push restaurants to take a handover photo. It turns C2 into C1. Reason code DLV_MISSING_UNCLEAR.</t>
  </si>
  <si>
    <t xml:space="preserve">DLV_MISSING_UNCLEAR</t>
  </si>
  <si>
    <t xml:space="preserve">Complaint after the restaurant's money was already released</t>
  </si>
  <si>
    <t xml:space="preserve">any of the above, raised after delivery + 24 hours, once the money has gone to the restaurant.</t>
  </si>
  <si>
    <t xml:space="preserve">same decision as the original scenario. Payment follows refund brief case 3 (from the linked account balance or a recovery from the next payout).</t>
  </si>
  <si>
    <t xml:space="preserve">same as the original scenario.</t>
  </si>
  <si>
    <t xml:space="preserve">check the complaint window in the refund policy ({refund_window_text}) first. Outside it, a goodwill decision only.</t>
  </si>
  <si>
    <t xml:space="preserve">instead of complaining to us, the diner disputes the payment with their bank.</t>
  </si>
  <si>
    <t xml:space="preserve">E4, E2, E5, E11.</t>
  </si>
  <si>
    <t xml:space="preserve">strong delivery proof (OTP by the diner + drop photo + GPS at the address): send it to Razorpay and fight the chargeback. Weak or no proof: accept the chargeback.</t>
  </si>
  <si>
    <t xml:space="preserve">if we lose because uEngage's proof was missing, C1 (refund amount + chargeback fee).</t>
  </si>
  <si>
    <t xml:space="preserve">refunds are blocked while a chargeback is open (refund brief case 6). Proof must be downloadable from uEngage within the chargeback reply window.</t>
  </si>
  <si>
    <t xml:space="preserve">the tracking link shows the rider stuck or in the wrong place. The diner panics and cancels. The food is actually on its way.</t>
  </si>
  <si>
    <t xml:space="preserve">if the rider can still deliver, call the diner, explain and deliver + R3 if late. If the diner insists on cancelling, R1 and bring the food back.</t>
  </si>
  <si>
    <t xml:space="preserve">C1 (their tracking caused the cancel).</t>
  </si>
  <si>
    <t xml:space="preserve">reason code DLV_TRACKING_FAULT.</t>
  </si>
  <si>
    <t xml:space="preserve">DLV_TRACKING_FAULT</t>
  </si>
  <si>
    <t xml:space="preserve">uEngage sends a false "cancelled", TF auto-refunds, the food arrives anyway</t>
  </si>
  <si>
    <t xml:space="preserve">a webhook says "cancelled" (glitch, partner-side swap), TF refunds automatically, but the rider delivers. The diner gets food and a full refund.</t>
  </si>
  <si>
    <t xml:space="preserve">E1 (cancel then delivered on the same task), E4.</t>
  </si>
  <si>
    <t xml:space="preserve">don't ask the diner for money back. The money is lost.</t>
  </si>
  <si>
    <t xml:space="preserve">C1. Their wrong status caused the refund.</t>
  </si>
  <si>
    <t xml:space="preserve">never refund automatically on a uEngage "cancelled" webhook. Put it under "Needs attention" for a person to check. Reason code DLV_FALSE_CANCEL_STATUS.</t>
  </si>
  <si>
    <t xml:space="preserve">DLV_FALSE_CANCEL_STATUS</t>
  </si>
  <si>
    <t xml:space="preserve">"Delivered" status never reaches TF</t>
  </si>
  <si>
    <t xml:space="preserve">the webhook is lost. TF shows "on the way" for hours. The diner gets "sorry, running late" messages, or the owner gives a refund thinking it's lost.</t>
  </si>
  <si>
    <t xml:space="preserve">E1 from uEngage's dashboard, E4.</t>
  </si>
  <si>
    <t xml:space="preserve">if a refund went out wrongly, treat as UE-35. If not, just fix the status.</t>
  </si>
  <si>
    <t xml:space="preserve">C1 if money was lost.</t>
  </si>
  <si>
    <t xml:space="preserve">poll trackTaskStatus for any task over ETA + 15 minutes with no update. Reason code DLV_STATUS_MISSING.</t>
  </si>
  <si>
    <t xml:space="preserve">DLV_STATUS_MISSING</t>
  </si>
  <si>
    <t xml:space="preserve">a retry or a glitch creates two tasks. Two riders come. The wallet is charged twice.</t>
  </si>
  <si>
    <t xml:space="preserve">no diner refund. Cancel the second task.</t>
  </si>
  <si>
    <t xml:space="preserve">C3 (reverse the duplicate charge).</t>
  </si>
  <si>
    <t xml:space="preserve">send TF's order id as the unique reference on createTask. Reason code DLV_DUPLICATE_TASK.</t>
  </si>
  <si>
    <t xml:space="preserve">DLV_DUPLICATE_TASK</t>
  </si>
  <si>
    <t xml:space="preserve">G. Restaurant's own rider through Flash (Type 2, ₹5 per delivery)</t>
  </si>
  <si>
    <t xml:space="preserve">Type 2: own rider via Flash</t>
  </si>
  <si>
    <t xml:space="preserve">Rider app crashes or stops syncing</t>
  </si>
  <si>
    <t xml:space="preserve">the Flash rider app freezes. Status stays on "assigned", the tracking link shows nothing, the OTP screen won't load. The diner thinks the order is lost.</t>
  </si>
  <si>
    <t xml:space="preserve">E1, E2 (gaps in GPS), the rider's own account.</t>
  </si>
  <si>
    <t xml:space="preserve">if delivered, fix the status by hand. If the diner cancelled because of the freeze, R1 (like UE-34).</t>
  </si>
  <si>
    <t xml:space="preserve">C3 (₹5 back) if nothing was lost. C1 if the freeze led to a refund.</t>
  </si>
  <si>
    <t xml:space="preserve">allow a manual "delivered" with a reason and a photo from the restaurant. Reason code DLV_RIDER_APP_FAULT.</t>
  </si>
  <si>
    <t xml:space="preserve">DLV_RIDER_APP_FAULT</t>
  </si>
  <si>
    <t xml:space="preserve">Flash gives the order to an own rider who is off duty or offline</t>
  </si>
  <si>
    <t xml:space="preserve">auto-assignment picks a rider marked offline, on leave or already on a long trip. Nobody comes.</t>
  </si>
  <si>
    <t xml:space="preserve">E1, rider's attendance status in Flash at the time of assignment.</t>
  </si>
  <si>
    <t xml:space="preserve">reassign. Late: R3. Nobody free: R1.</t>
  </si>
  <si>
    <t xml:space="preserve">C1 if Flash showed the rider as offline and still assigned them. C4 if the rider forgot to go offline.</t>
  </si>
  <si>
    <t xml:space="preserve">reason code DLV_ASSIGNED_OFFLINE_RIDER.</t>
  </si>
  <si>
    <t xml:space="preserve">DLV_ASSIGNED_OFFLINE_RIDER</t>
  </si>
  <si>
    <t xml:space="preserve">No own rider free, and Flash doesn't fall back to a partner rider</t>
  </si>
  <si>
    <t xml:space="preserve">the restaurant set Flash to use partner riders when its own are busy. Flash waits for an own rider instead.</t>
  </si>
  <si>
    <t xml:space="preserve">the restaurant's fallback setting in Flash, E1.</t>
  </si>
  <si>
    <t xml:space="preserve">R3 if late, R1 if cancelled.</t>
  </si>
  <si>
    <t xml:space="preserve">C1 if the fallback was switched on. C4 if it wasn't.</t>
  </si>
  <si>
    <t xml:space="preserve">show the fallback setting on the TF owner dashboard so nobody has to guess. Reason code DLV_FALLBACK_FAILED.</t>
  </si>
  <si>
    <t xml:space="preserve">DLV_FALLBACK_FAILED</t>
  </si>
  <si>
    <t xml:space="preserve">Fallback works, but the task costs ₹65+ instead of ₹5</t>
  </si>
  <si>
    <t xml:space="preserve">this isn't a mistake. When a partner rider takes over, the ₹65 + ₹12/km price applies.</t>
  </si>
  <si>
    <t xml:space="preserve">nothing changes. Don't charge them extra after payment (delivery policy section 4).</t>
  </si>
  <si>
    <t xml:space="preserve">C4.</t>
  </si>
  <si>
    <t xml:space="preserve">show "own rider ₹5" vs "partner rider ₹X" per order on the wallet page so the owner understands the spend. This avoids a false dispute with uEngage.</t>
  </si>
  <si>
    <t xml:space="preserve">same outcome as the matching UE card (UE-14 to UE-25, UE-28 to UE-31).</t>
  </si>
  <si>
    <t xml:space="preserve">C4. The restaurant carries it and deals with its staff.</t>
  </si>
  <si>
    <t xml:space="preserve">same reason codes, with rider type "own". Rider watchlist still applies, so the owner can see repeat problems with its own staff.</t>
  </si>
  <si>
    <t xml:space="preserve">Own rider misconduct</t>
  </si>
  <si>
    <t xml:space="preserve">extra money demanded, rude behaviour, tampering (UE-26, UE-27, UE-18).</t>
  </si>
  <si>
    <t xml:space="preserve">same as the UE card. Safety first.</t>
  </si>
  <si>
    <t xml:space="preserve">C4. uEngage's terms also say rider job disputes are the restaurant's problem, not uEngage's.</t>
  </si>
  <si>
    <t xml:space="preserve">OTP or photo step fails in the Flash app</t>
  </si>
  <si>
    <t xml:space="preserve">the rider can't enter the delivery OTP or upload the drop photo, so they mark delivered without proof. Later the diner says they didn't get it (UE-22) or raises a chargeback (UE-33), and there's no proof.</t>
  </si>
  <si>
    <t xml:space="preserve">C1 if Flash's logs show the OTP or photo step failed. C4 if the rider skipped it.</t>
  </si>
  <si>
    <t xml:space="preserve">reason code DLV_POD_FAULT.</t>
  </si>
  <si>
    <t xml:space="preserve">DLV_POD_FAULT</t>
  </si>
  <si>
    <t xml:space="preserve">Same as UE-21 C1 if TF sent the right pin and Flash's map sent the rider somewhere else.</t>
  </si>
  <si>
    <t xml:space="preserve">Type 3: outside uEngage</t>
  </si>
  <si>
    <t xml:space="preserve">Restaurant books another company while a uEngage task is still active</t>
  </si>
  <si>
    <t xml:space="preserve">the restaurant gets impatient, books Rapido or Porter directly, and forgets to cancel the Flash task. Two riders come. The uEngage wallet is charged ₹65+ for a task nobody needed.</t>
  </si>
  <si>
    <t xml:space="preserve">no impact, as long as only one rider hands over the food.</t>
  </si>
  <si>
    <t xml:space="preserve">C4, the restaurant's own error. Ask uEngage to waive the charge as goodwill only.</t>
  </si>
  <si>
    <t xml:space="preserve">a "Deliver another way" button on the kitchen screen that cancels the uEngage task and records the new rider type. Reason code DLV_DOUBLE_BOOKED_OUTSIDE.</t>
  </si>
  <si>
    <t xml:space="preserve">DLV_DOUBLE_BOOKED_OUTSIDE</t>
  </si>
  <si>
    <t xml:space="preserve">the restaurant must save the outside booking id, rider name and phone, and screenshots from that company's app. Without these the claim will fail.</t>
  </si>
  <si>
    <t xml:space="preserve">same outcome as the matching UE card.</t>
  </si>
  <si>
    <t xml:space="preserve">C5, from that company, under its terms and time limits. Nothing to uEngage.</t>
  </si>
  <si>
    <t xml:space="preserve">"Deliver another way" asks for the company name, booking id and rider phone. Reason code DLV_OUTSIDE_PROVIDER.</t>
  </si>
  <si>
    <t xml:space="preserve">DLV_OUTSIDE_PROVIDER</t>
  </si>
  <si>
    <t xml:space="preserve">TF never hears "picked up" or "delivered"</t>
  </si>
  <si>
    <t xml:space="preserve">the diner's tracking and WhatsApp updates stop at "ready". The diner calls or cancels, even if the rider is nearly there.</t>
  </si>
  <si>
    <t xml:space="preserve">if the diner cancels because of the missing updates while food is on the way, R1 (like UE-34).</t>
  </si>
  <si>
    <t xml:space="preserve">C4 or C5.</t>
  </si>
  <si>
    <t xml:space="preserve">when a restaurant picks "Deliver another way", send the diner "Your order is on its way with our rider {name, phone}" and give the restaurant a "Delivered" button.</t>
  </si>
  <si>
    <t xml:space="preserve">The money hold has no delivered time</t>
  </si>
  <si>
    <t xml:space="preserve">the Razorpay hold is set to "delivered + 24 hours". With no delivered time, the money either stays on hold forever or releases on a fallback timer before a complaint can come in.</t>
  </si>
  <si>
    <t xml:space="preserve">no impact.</t>
  </si>
  <si>
    <t xml:space="preserve">for Type 3, use the restaurant's "Delivered" tap. If there's no tap, release at order time + 6 hours + 24 hours, and log it.</t>
  </si>
  <si>
    <t xml:space="preserve">the diner's bank raises "not received". TF has no OTP, photo or GPS.</t>
  </si>
  <si>
    <t xml:space="preserve">without proof from the restaurant or the outside company, the chargeback is likely lost.</t>
  </si>
  <si>
    <t xml:space="preserve">C5 if the company has proof. Otherwise the restaurant carries it.</t>
  </si>
  <si>
    <t xml:space="preserve">ask the restaurant to upload a delivery photo when it taps "Delivered" on Type 3 orders.</t>
  </si>
  <si>
    <t xml:space="preserve">Outside company charges more than the diner's fee, or charges for a cancel</t>
  </si>
  <si>
    <t xml:space="preserve">no impact. Never charge the diner extra after payment.</t>
  </si>
  <si>
    <t xml:space="preserve">between the restaurant and that company. TF isn't involved.</t>
  </si>
  <si>
    <t xml:space="preserve">Restaurant's own rider delivers without Flash, and nobody records it</t>
  </si>
  <si>
    <t xml:space="preserve">Same risks as XP-03, XP-04 and XP-05 Restaurant carries everything (C4).
if a restaurant has its own riders, run them through Flash (Type 2). ₹5 a delivery pays for itself with the first chargeback it helps win.</t>
  </si>
  <si>
    <t xml:space="preserve">I. Rider behaviour bordering on crime</t>
  </si>
  <si>
    <t xml:space="preserve">Any rider type</t>
  </si>
  <si>
    <t xml:space="preserve">Rider threatens the diner to make them pay extra</t>
  </si>
  <si>
    <t xml:space="preserve">2. Level 3 if there's violence or a threat of violence.</t>
  </si>
  <si>
    <t xml:space="preserve">a step beyond UE-26. The rider won't hand over the food, blocks the door or threatens the diner until they pay.</t>
  </si>
  <si>
    <t xml:space="preserve">E2, E5, E10, E9 if the diner recorded anything.</t>
  </si>
  <si>
    <t xml:space="preserve">R1 or replacement, plus back any money paid (M8).</t>
  </si>
  <si>
    <t xml:space="preserve">C1 + formal complaint. Block after one incident.</t>
  </si>
  <si>
    <t xml:space="preserve">reason code DLV_CRIME_EXTORTION.</t>
  </si>
  <si>
    <t xml:space="preserve">DLV_CRIME_EXTORTION</t>
  </si>
  <si>
    <t xml:space="preserve">Rider deliberately steals the order</t>
  </si>
  <si>
    <t xml:space="preserve">2.</t>
  </si>
  <si>
    <t xml:space="preserve">the rider picks up and keeps the food, marks it delivered or goes offline (a deliberate version of UE-20 or UE-22). A pattern across several orders proves it.</t>
  </si>
  <si>
    <t xml:space="preserve">E1, E2, E3, E4.</t>
  </si>
  <si>
    <t xml:space="preserve">C1 + formal complaint. The restaurant can file a police complaint for theft if the value or pattern justifies it.</t>
  </si>
  <si>
    <t xml:space="preserve">reason code DLV_CRIME_THEFT.</t>
  </si>
  <si>
    <t xml:space="preserve">DLV_CRIME_THEFT</t>
  </si>
  <si>
    <t xml:space="preserve">Rider contaminates the food on purpose</t>
  </si>
  <si>
    <t xml:space="preserve">3 (a health risk, not just tampering).</t>
  </si>
  <si>
    <t xml:space="preserve">signs the food has been spat in, spiked or had something added. Or the diner or a family member feels ill after an order with a broken seal.</t>
  </si>
  <si>
    <t xml:space="preserve">E8 (sealed at handover), E9, E3, E4, E6.</t>
  </si>
  <si>
    <t xml:space="preserve">R1. Ask them not to eat it and to keep it, the bag and the seal. If anyone feels ill, get medical help first.</t>
  </si>
  <si>
    <t xml:space="preserve">C1 + formal complaint. Level 3 steps. Keep the food for the police if the diner reports it.</t>
  </si>
  <si>
    <t xml:space="preserve">reason code DLV_CRIME_CONTAMINATION.</t>
  </si>
  <si>
    <t xml:space="preserve">DLV_CRIME_CONTAMINATION</t>
  </si>
  <si>
    <t xml:space="preserve">Rider drunk or high on duty</t>
  </si>
  <si>
    <t xml:space="preserve">2. Level 3 if it leads to abuse or danger.</t>
  </si>
  <si>
    <t xml:space="preserve">E10, E6, restaurant's note if seen at pickup.</t>
  </si>
  <si>
    <t xml:space="preserve">R1 if they refused the order. Delivery fee back if they took it.</t>
  </si>
  <si>
    <t xml:space="preserve">C1. One-incident block. If the restaurant sees it at pickup, it refuses to hand over the order and asks uEngage for another rider (UE-06).</t>
  </si>
  <si>
    <t xml:space="preserve">reason code DLV_CRIME_INTOXICATED.</t>
  </si>
  <si>
    <t xml:space="preserve">DLV_CRIME_INTOXICATED</t>
  </si>
  <si>
    <t xml:space="preserve">Verbal abuse, slurs or intimidation</t>
  </si>
  <si>
    <t xml:space="preserve">2. Level 3 if it becomes threats of harm or targets the diner's gender, religion, caste or community.</t>
  </si>
  <si>
    <t xml:space="preserve">R1 if refused. Delivery fee back and an apology if accepted.</t>
  </si>
  <si>
    <t xml:space="preserve">C1 + formal complaint. One-incident block.</t>
  </si>
  <si>
    <t xml:space="preserve">reason code DLV_CRIME_ABUSE.</t>
  </si>
  <si>
    <t xml:space="preserve">DLV_CRIME_ABUSE</t>
  </si>
  <si>
    <t xml:space="preserve">3.</t>
  </si>
  <si>
    <t xml:space="preserve">sexual comments, gestures, exposure, touching, or asking for a phone number or a meeting.</t>
  </si>
  <si>
    <t xml:space="preserve">M9, R1 and the Level 3 steps. A woman from TF's team makes the follow-up call if the diner prefers.</t>
  </si>
  <si>
    <t xml:space="preserve">C1 + formal complaint. Ask uEngage to remove the rider from its platform, not just from TF orders.</t>
  </si>
  <si>
    <t xml:space="preserve">reason code DLV_CRIME_SEXUAL_HARASSMENT. Safety incident.</t>
  </si>
  <si>
    <t xml:space="preserve">DLV_CRIME_SEXUAL_HARASSMENT</t>
  </si>
  <si>
    <t xml:space="preserve">the rider hits, pushes or grabs the diner, a family member, a security guard or restaurant staff.</t>
  </si>
  <si>
    <t xml:space="preserve">112 and medical help first. Then M9, R1 and the Level 3 steps.</t>
  </si>
  <si>
    <t xml:space="preserve">C1 + formal complaint. uEngage should cover any costs the restaurant has.</t>
  </si>
  <si>
    <t xml:space="preserve">reason code DLV_CRIME_ASSAULT. Safety incident.</t>
  </si>
  <si>
    <t xml:space="preserve">DLV_CRIME_ASSAULT</t>
  </si>
  <si>
    <t xml:space="preserve">Rider tries to get into the home</t>
  </si>
  <si>
    <t xml:space="preserve">the rider pushes past the door, walks in uninvited, or insists on coming inside "to use the washroom" or "to collect payment".</t>
  </si>
  <si>
    <t xml:space="preserve">M9, R1 and the Level 3 steps.</t>
  </si>
  <si>
    <t xml:space="preserve">C1 + formal complaint.</t>
  </si>
  <si>
    <t xml:space="preserve">reason code DLV_CRIME_TRESPASS. Safety incident.</t>
  </si>
  <si>
    <t xml:space="preserve">DLV_CRIME_TRESPASS</t>
  </si>
  <si>
    <t xml:space="preserve">Rider contacts the diner after the delivery</t>
  </si>
  <si>
    <t xml:space="preserve">3 (misuse of personal data).</t>
  </si>
  <si>
    <t xml:space="preserve">calls, WhatsApp messages, social media requests or friend requests from the rider after the order is closed. Only possible if the rider saw or saved the diner's real number or name.</t>
  </si>
  <si>
    <t xml:space="preserve">screenshots from the diner, E5 (was calling masked?), E6.</t>
  </si>
  <si>
    <t xml:space="preserve">M9 and the Level 3 steps. R1 on the order, even if the delivery itself was fine.</t>
  </si>
  <si>
    <t xml:space="preserve">C1 + formal complaint. Step 8 (data breach check) applies.</t>
  </si>
  <si>
    <t xml:space="preserve">reason code DLV_CRIME_DATA_MISUSE. Push uEngage for masked calling and hiding the diner's details after the task is closed (section 11).</t>
  </si>
  <si>
    <t xml:space="preserve">DLV_CRIME_DATA_MISUSE</t>
  </si>
  <si>
    <t xml:space="preserve">Rider comes back to the address or follows the diner</t>
  </si>
  <si>
    <t xml:space="preserve">3 (stalking).</t>
  </si>
  <si>
    <t xml:space="preserve">the rider turns up again with no order, waits near the building, or follows the diner.</t>
  </si>
  <si>
    <t xml:space="preserve">112 if happening now. M9 and the Level 3 steps. The restaurant can offer to pause delivery to that address, or send only its own trusted rider, until the diner feels safe.</t>
  </si>
  <si>
    <t xml:space="preserve">C1 + formal complaint. Ask uEngage to make sure the rider is never sent to that address again.</t>
  </si>
  <si>
    <t xml:space="preserve">reason code DLV_CRIME_STALKING. Flag the address so that rider can never be assigned there.</t>
  </si>
  <si>
    <t xml:space="preserve">DLV_CRIME_STALKING</t>
  </si>
  <si>
    <t xml:space="preserve">Rider damages property</t>
  </si>
  <si>
    <t xml:space="preserve">2. Level 3 if done to threaten.</t>
  </si>
  <si>
    <t xml:space="preserve">damages a gate, car, doorbell or camera, or the restaurant's property at pickup.</t>
  </si>
  <si>
    <t xml:space="preserve">R1 on the order if it was affected. Repair costs are a matter between the diner and uEngage or the police, not a refund.</t>
  </si>
  <si>
    <t xml:space="preserve">C1 + formal complaint. Pass the diner's repair claim to uEngage.</t>
  </si>
  <si>
    <t xml:space="preserve">reason code DLV_CRIME_PROPERTY_DAMAGE.</t>
  </si>
  <si>
    <t xml:space="preserve">DLV_CRIME_PROPERTY_DAMAGE</t>
  </si>
  <si>
    <t xml:space="preserve">2 (fraud).</t>
  </si>
  <si>
    <t xml:space="preserve">the rider says "your payment failed" and asks the diner to pay again to their own UPI or QR code. Or they ask for an OTP that's really a bank or UPI OTP, not the delivery OTP.</t>
  </si>
  <si>
    <t xml:space="preserve">E11 (the order was fully paid), E10, the diner's payment screenshot.</t>
  </si>
  <si>
    <t xml:space="preserve">M11. Pay back anything they paid the rider (M8). If they shared a bank OTP, they must call their bank and 1930 at once. TF can't reverse that money.</t>
  </si>
  <si>
    <t xml:space="preserve">reason code DLV_CRIME_PAYMENT_FRAUD. Every order message says "Your order is fully paid. Never pay anyone at the door."</t>
  </si>
  <si>
    <t xml:space="preserve">DLV_CRIME_PAYMENT_FRAUD</t>
  </si>
  <si>
    <t xml:space="preserve">Someone pretends to be the rider to reach the diner</t>
  </si>
  <si>
    <t xml:space="preserve">a person who isn't the assigned rider (a fake rider, or someone the real rider passed the order to) turns up at the diner's door. Linked to UE-11, but the worry is about who now knows the diner's address.</t>
  </si>
  <si>
    <t xml:space="preserve">E6 (the rider photo and name sent to the diner vs who came), E3, E4.</t>
  </si>
  <si>
    <t xml:space="preserve">M9 and the Level 3 steps if the diner feels unsafe. R1 or replacement.</t>
  </si>
  <si>
    <t xml:space="preserve">C1 + formal complaint. Passing tasks to another person breaks uEngage's KYC promise.</t>
  </si>
  <si>
    <t xml:space="preserve">reason code DLV_CRIME_IMPERSONATION. The rider photo and name should always go to the diner, so they can check who's at the door.</t>
  </si>
  <si>
    <t xml:space="preserve">DLV_CRIME_IMPERSONATION</t>
  </si>
  <si>
    <t xml:space="preserve">Rider threatens or attacks restaurant staff</t>
  </si>
  <si>
    <t xml:space="preserve">at pickup, the rider gets violent over waiting time, a refused order or an argument.</t>
  </si>
  <si>
    <t xml:space="preserve">reassign or cancel with R1 (UE-06). Tell the diner "a problem at the restaurant", nothing more.</t>
  </si>
  <si>
    <t xml:space="preserve">reason code DLV_CRIME_STAFF_THREAT. Safety incident.</t>
  </si>
  <si>
    <t xml:space="preserve">DLV_CRIME_STAFF_THREAT</t>
  </si>
  <si>
    <t xml:space="preserve">staff safety first. 112 if needed. The restaurant can file a police complaint as the victim.</t>
  </si>
  <si>
    <t xml:space="preserve">Rider shares the diner's details, or photographs the diner or their home</t>
  </si>
  <si>
    <t xml:space="preserve">the rider takes photos beyond the normal drop photo (inside the home, of the diner), or shares the diner's address, phone or photos with others.</t>
  </si>
  <si>
    <t xml:space="preserve">the drop photo in E4 (was it only the door or the bag?), anything the diner has seen shared.</t>
  </si>
  <si>
    <t xml:space="preserve">M9 and the Level 3 steps. R1.</t>
  </si>
  <si>
    <t xml:space="preserve">reason code DLV_CRIME_DATA_MISUSE. Ask uEngage to limit drop photos to the bag at the door.</t>
  </si>
  <si>
    <t xml:space="preserve">3, always.</t>
  </si>
  <si>
    <t xml:space="preserve">the order is received by someone under 18, and the rider behaves inappropriately towards them in any way.</t>
  </si>
  <si>
    <t xml:space="preserve">speak to the parent or guardian. M9, R1 and the Level 3 steps.</t>
  </si>
  <si>
    <t xml:space="preserve">C1 + formal complaint. Ask uEngage to remove the rider from its platform.</t>
  </si>
  <si>
    <t xml:space="preserve">reason code DLV_CRIME_CHILD_SAFETY. Safety incident, restricted to the fewest people possible.</t>
  </si>
  <si>
    <t xml:space="preserve">DLV_CRIME_CHILD_SAFETY</t>
  </si>
  <si>
    <t xml:space="preserve">if it's sexual in any way, TF and the restaurant report it to the police themselves (POCSO). Don't wait for the family. Never contact the child directly.</t>
  </si>
  <si>
    <t xml:space="preserve">A complaint we can't check, or that looks false</t>
  </si>
  <si>
    <t xml:space="preserve">a Level 2 or 3 complaint with no supporting evidence, or one that doesn't match E1 to E5 (for example the rider was never near the address). Sometimes it's a way to get a free meal.</t>
  </si>
  <si>
    <t xml:space="preserve">for Level 3, still refund in full and follow the safety steps. Getting a real case wrong is far worse than losing one meal. For Level 2 with nothing to back it up, refund the order but don't block the rider on that alone.</t>
  </si>
  <si>
    <t xml:space="preserve">reason code DLV_CRIME_UNVERIFIED.</t>
  </si>
  <si>
    <t xml:space="preserve">DLV_CRIME_UNVERIFIED</t>
  </si>
  <si>
    <t xml:space="preserve">block from TF orders while it's checked, but tell uEngage it's "not yet confirmed". Never share the accusation with other restaurants or in public.
if the same diner makes repeated complaints that don't hold up, TF ops reviews it. The restaurant can decline future orders from that diner, with a reason logged.</t>
  </si>
  <si>
    <t xml:space="preserve">Three kinds of rider</t>
  </si>
  <si>
    <t xml:space="preserve">Charges are as stated by Adam, 30 Sep 2026. GST treatment not yet confirmed with uEngage.</t>
  </si>
  <si>
    <t xml:space="preserve">How the rider is booked</t>
  </si>
  <si>
    <t xml:space="preserve">What uEngage charges the restaurant's wallet</t>
  </si>
  <si>
    <t xml:space="preserve">Who carries a rider mistake</t>
  </si>
  <si>
    <t xml:space="preserve">Who carries a system mistake (tracking, status, OTP, assignment)</t>
  </si>
  <si>
    <t xml:space="preserve">Type 1: uEngage partner rider (3PL)</t>
  </si>
  <si>
    <t xml:space="preserve">TF books through Flash, Flash picks a partner (Porter, Rapido, Shadowfax and others)</t>
  </si>
  <si>
    <t xml:space="preserve">₹65 for the first 3 km, then ₹12 per km (5 km = ₹89, 8 km = ₹125). Confirm whether GST is on top</t>
  </si>
  <si>
    <t xml:space="preserve">uEngage (claim)</t>
  </si>
  <si>
    <t xml:space="preserve">Type 2: restaurant's own rider, run through Flash</t>
  </si>
  <si>
    <t xml:space="preserve">Flash assigns the restaurant's own staff rider using the rider app</t>
  </si>
  <si>
    <t xml:space="preserve">₹5 per delivery</t>
  </si>
  <si>
    <t xml:space="preserve">Restaurant. The rider is its employee. No uEngage claim</t>
  </si>
  <si>
    <t xml:space="preserve">uEngage, but only for what its software did wrong. Most claims are just the ₹5 back, unless its failure caused a refund</t>
  </si>
  <si>
    <t xml:space="preserve">Type 3: rider outside uEngage</t>
  </si>
  <si>
    <t xml:space="preserve">The restaurant books another company directly (Porter, Rapido, Borzo, Shadowfax app, ONDC and so on), or sends its own rider without Flash</t>
  </si>
  <si>
    <t xml:space="preserve">Nothing on the uEngage wallet</t>
  </si>
  <si>
    <t xml:space="preserve">Restaurant first. It claims from that company under that company's terms</t>
  </si>
  <si>
    <t xml:space="preserve">Restaurant / that company. TF can't see this delivery at all unless the restaurant updates it</t>
  </si>
  <si>
    <t xml:space="preserve">What this means in practice</t>
  </si>
  <si>
    <t xml:space="preserve">• Every scenario card in section 7 assumes Type 1. For Type 2 and Type 3, use the same diner outcome (the diner is treated the same whoever the rider is), but the claim changes as shown in the matrix in section 7G.</t>
  </si>
  <si>
    <t xml:space="preserve">• The diner never needs to know the rider type. The restaurant is responsible for delivery to the diner (delivery policy section 1).</t>
  </si>
  <si>
    <t xml:space="preserve">• The delivery fee the diner paid and what the restaurant paid for delivery are different numbers. A diner might pay ₹40 while the restaurant pays uEngage ₹89. Refunds (R1, R3) give back what the diner paid. Claims (C1, C3) get back what the restaurant paid.</t>
  </si>
  <si>
    <t xml:space="preserve">Delivery cost and claim calculator</t>
  </si>
  <si>
    <t xml:space="preserve">Edit the yellow cells only (blue text). Everything else is worked out by formula. Rates as stated by Adam, 30 Sep 2026; GST not included.</t>
  </si>
  <si>
    <t xml:space="preserve">Rates</t>
  </si>
  <si>
    <t xml:space="preserve">Partner rider (Type 1): base charge (₹)</t>
  </si>
  <si>
    <t xml:space="preserve">Adam, 30 Sep 2026</t>
  </si>
  <si>
    <t xml:space="preserve">Partner rider: km included in base</t>
  </si>
  <si>
    <t xml:space="preserve">Partner rider: charge per extra km (₹)</t>
  </si>
  <si>
    <t xml:space="preserve">Own rider via Flash (Type 2): charge per delivery (₹)</t>
  </si>
  <si>
    <t xml:space="preserve">Split claim share (C2)</t>
  </si>
  <si>
    <t xml:space="preserve">Rule C2 default</t>
  </si>
  <si>
    <t xml:space="preserve">Order</t>
  </si>
  <si>
    <t xml:space="preserve">Rider type (1, 2 or 3)</t>
  </si>
  <si>
    <t xml:space="preserve">1 partner, 2 own rider via Flash, 3 outside uEngage</t>
  </si>
  <si>
    <t xml:space="preserve">Distance, restaurant to diner (km)</t>
  </si>
  <si>
    <t xml:space="preserve">Road distance, to confirm with uEngage how km are measured</t>
  </si>
  <si>
    <t xml:space="preserve">Food (₹)</t>
  </si>
  <si>
    <t xml:space="preserve">Example order</t>
  </si>
  <si>
    <t xml:space="preserve">GST on food (₹)</t>
  </si>
  <si>
    <t xml:space="preserve">Packaging (₹)</t>
  </si>
  <si>
    <t xml:space="preserve">Delivery fee paid by the diner (₹)</t>
  </si>
  <si>
    <t xml:space="preserve">Replacement sent? (1 yes, 0 no)</t>
  </si>
  <si>
    <t xml:space="preserve">R5</t>
  </si>
  <si>
    <t xml:space="preserve">Cost of replacement food to the restaurant (₹)</t>
  </si>
  <si>
    <t xml:space="preserve">Only if a replacement was sent</t>
  </si>
  <si>
    <t xml:space="preserve">Results</t>
  </si>
  <si>
    <t xml:space="preserve">Diner paid in total (₹)</t>
  </si>
  <si>
    <t xml:space="preserve">uEngage task charge for this order (₹)</t>
  </si>
  <si>
    <t xml:space="preserve">Type 3 has no uEngage charge</t>
  </si>
  <si>
    <t xml:space="preserve">Second task charge if a replacement was sent (₹)</t>
  </si>
  <si>
    <t xml:space="preserve">R1 full refund to the diner (₹)</t>
  </si>
  <si>
    <t xml:space="preserve">No refund if the diner took a replacement</t>
  </si>
  <si>
    <t xml:space="preserve">R3 delivery fee refund for lateness (₹)</t>
  </si>
  <si>
    <t xml:space="preserve">C1 full claim from uEngage (₹), Type 1</t>
  </si>
  <si>
    <t xml:space="preserve">Refund + task charge + second task + replacement food</t>
  </si>
  <si>
    <t xml:space="preserve">C3 charge reversal only (₹)</t>
  </si>
  <si>
    <t xml:space="preserve">C2 split claim (₹), Type 1</t>
  </si>
  <si>
    <t xml:space="preserve">Share of the refund</t>
  </si>
  <si>
    <t xml:space="preserve">Most the restaurant can claim on a rider mistake (₹)</t>
  </si>
  <si>
    <t xml:space="preserve">Type 2: only the ₹5, unless the Flash software caused it. Type 3: claim from that company (C5)</t>
  </si>
  <si>
    <t xml:space="preserve">What the diner gets back (R1 to R5)</t>
  </si>
  <si>
    <t xml:space="preserve">Rule</t>
  </si>
  <si>
    <t xml:space="preserve">When</t>
  </si>
  <si>
    <t xml:space="preserve">Amount</t>
  </si>
  <si>
    <t xml:space="preserve">R1 Full refund</t>
  </si>
  <si>
    <t xml:space="preserve">The order never reaches the diner, or arrives unusable (spilled, tampered, spoiled). Refusing at the door counts only if it's for a rider-side reason we can check: seal broken or bag visibly damaged (UE-16, UE-18), rider unsafe or abusive (UE-27), rider demanding extra money (UE-26), or more than 60 minutes past the ETA (R4). Refusing for any other reason, like a change of mind, gets no refund</t>
  </si>
  <si>
    <t xml:space="preserve">Everything they paid: food, taxes, packaging, delivery fee</t>
  </si>
  <si>
    <t xml:space="preserve">R2 Part refund</t>
  </si>
  <si>
    <t xml:space="preserve">Some items missing, spilled or damaged</t>
  </si>
  <si>
    <t xml:space="preserve">Those items at the price actually paid (after any discount), plus their share of tax and packaging. Keep the delivery fee unless rule R3 also applies</t>
  </si>
  <si>
    <t xml:space="preserve">R3 Delivery fee back for lateness</t>
  </si>
  <si>
    <t xml:space="preserve">Delivered more than 30 minutes after the ETA shown at checkout, and the lateness is on the rider or uEngage side</t>
  </si>
  <si>
    <t xml:space="preserve">Delivery fee, refunded automatically, no request needed</t>
  </si>
  <si>
    <t xml:space="preserve">R4 Very late, diner refuses</t>
  </si>
  <si>
    <t xml:space="preserve">More than 60 minutes after the ETA, rider-side delay, diner refuses at the door</t>
  </si>
  <si>
    <t xml:space="preserve">Full refund (R1). The food comes back and is written off</t>
  </si>
  <si>
    <t xml:space="preserve">R5 Replacement</t>
  </si>
  <si>
    <t xml:space="preserve">The diner prefers fresh food over a refund, and the kitchen is open</t>
  </si>
  <si>
    <t xml:space="preserve">Diner pays nothing extra. The second delivery's cost goes into the claim</t>
  </si>
  <si>
    <t xml:space="preserve">The diner picks refund or replacement. Default to refund if they don't answer within 15 minutes.</t>
  </si>
  <si>
    <t xml:space="preserve">Cancel or refund? Before the food leaves the restaurant, the order is cancelled and refunded. Once the rider has picked it up, it isn't a cancellation any more: it's a failed or faulty delivery, and the diner gets a refund under R1 to R4.</t>
  </si>
  <si>
    <t xml:space="preserve">What the restaurant claims (C1 to C5)</t>
  </si>
  <si>
    <t xml:space="preserve">Claim amount</t>
  </si>
  <si>
    <t xml:space="preserve">C1 Full claim</t>
  </si>
  <si>
    <t xml:space="preserve">Clear uEngage or rider fault</t>
  </si>
  <si>
    <t xml:space="preserve">Amount refunded to the diner + delivery charge taken from the wallet for that task + any second task used for a replacement</t>
  </si>
  <si>
    <t xml:space="preserve">C2 Split claim</t>
  </si>
  <si>
    <t xml:space="preserve">Blame shared, for example a missing item where both the seal and the rider handling are unclear</t>
  </si>
  <si>
    <t xml:space="preserve">50% of the refund, unless evidence tips it one way</t>
  </si>
  <si>
    <t xml:space="preserve">C3 Charge reversal only</t>
  </si>
  <si>
    <t xml:space="preserve">uEngage failed but no food was wasted and no refund was needed (for example no rider found before cooking started)</t>
  </si>
  <si>
    <t xml:space="preserve">Just the delivery charge, if any was taken</t>
  </si>
  <si>
    <t xml:space="preserve">C4 No claim</t>
  </si>
  <si>
    <t xml:space="preserve">Force majeure, or it's the restaurant's or the diner's fault</t>
  </si>
  <si>
    <t xml:space="preserve">Nothing</t>
  </si>
  <si>
    <t xml:space="preserve">C5 Claim from another company</t>
  </si>
  <si>
    <t xml:space="preserve">Type 3 rider outside uEngage got it wrong</t>
  </si>
  <si>
    <t xml:space="preserve">Refund + what the restaurant paid that company, under that company's claim process. Nothing to uEngage</t>
  </si>
  <si>
    <t xml:space="preserve">Important gap</t>
  </si>
  <si>
    <t xml:space="preserve">Code</t>
  </si>
  <si>
    <t xml:space="preserve">Evidence</t>
  </si>
  <si>
    <t xml:space="preserve">Where it comes from</t>
  </si>
  <si>
    <t xml:space="preserve">E1</t>
  </si>
  <si>
    <t xml:space="preserve">uEngage task timeline: created, assigned, reached pickup, picked up, delivered or cancelled, with times and the cancel reason</t>
  </si>
  <si>
    <t xml:space="preserve">uEngage webhook log in TF + uEngage dashboard</t>
  </si>
  <si>
    <t xml:space="preserve">E2</t>
  </si>
  <si>
    <t xml:space="preserve">Rider GPS trail for the whole task</t>
  </si>
  <si>
    <t xml:space="preserve">uEngage (ask for it on every disputed task)</t>
  </si>
  <si>
    <t xml:space="preserve">E3</t>
  </si>
  <si>
    <t xml:space="preserve">Pickup proof: pickup OTP and photo</t>
  </si>
  <si>
    <t xml:space="preserve">uEngage</t>
  </si>
  <si>
    <t xml:space="preserve">E4</t>
  </si>
  <si>
    <t xml:space="preserve">Delivery proof: delivery OTP, drop photo and drop GPS point</t>
  </si>
  <si>
    <t xml:space="preserve">E5</t>
  </si>
  <si>
    <t xml:space="preserve">Rider's call log to the diner (number of calls, times, how long they rang)</t>
  </si>
  <si>
    <t xml:space="preserve">uEngage masked-call log</t>
  </si>
  <si>
    <t xml:space="preserve">E6</t>
  </si>
  <si>
    <t xml:space="preserve">Rider details: name, phone, partner (Porter, Rapido and so on), vehicle number</t>
  </si>
  <si>
    <t xml:space="preserve">E7</t>
  </si>
  <si>
    <t xml:space="preserve">Kitchen times: accepted, marked ready</t>
  </si>
  <si>
    <t xml:space="preserve">TF order log / kitchen screen</t>
  </si>
  <si>
    <t xml:space="preserve">E8</t>
  </si>
  <si>
    <t xml:space="preserve">Handover photo at the counter: sealed bags, bag count</t>
  </si>
  <si>
    <t xml:space="preserve">Restaurant (make this a standard step)</t>
  </si>
  <si>
    <t xml:space="preserve">E9</t>
  </si>
  <si>
    <t xml:space="preserve">Diner's photos or video, sent within the complaint window</t>
  </si>
  <si>
    <t xml:space="preserve">WhatsApp</t>
  </si>
  <si>
    <t xml:space="preserve">E10</t>
  </si>
  <si>
    <t xml:space="preserve">Chat and call notes with the diner</t>
  </si>
  <si>
    <t xml:space="preserve">TF support</t>
  </si>
  <si>
    <t xml:space="preserve">E11</t>
  </si>
  <si>
    <t xml:space="preserve">Payment id, refund id, bank reference (ARN)</t>
  </si>
  <si>
    <t xml:space="preserve">Razorpay</t>
  </si>
  <si>
    <t xml:space="preserve">Diner messages (M1 to M11)</t>
  </si>
  <si>
    <t xml:space="preserve">Message</t>
  </si>
  <si>
    <t xml:space="preserve">M1</t>
  </si>
  <si>
    <t xml:space="preserve">Cancelled before pickup</t>
  </si>
  <si>
    <t xml:space="preserve">"Sorry, we couldn't get a rider for your order, so we've cancelled it. Your full ₹X is on its way back to the card or UPI you paid with. It usually shows in 5 to 7 working days."</t>
  </si>
  <si>
    <t xml:space="preserve">M2</t>
  </si>
  <si>
    <t xml:space="preserve">Delay, new rider being found</t>
  </si>
  <si>
    <t xml:space="preserve">"Your food is ready. The rider had to drop out and we're getting you a new one now. We'll update you within 10 minutes."</t>
  </si>
  <si>
    <t xml:space="preserve">M3</t>
  </si>
  <si>
    <t xml:space="preserve">Full refund after pickup</t>
  </si>
  <si>
    <t xml:space="preserve">"We're sorry, your order didn't reach you the way it should have. We've refunded the full ₹X to the card or UPI you paid with. It usually shows in 5 to 7 working days."</t>
  </si>
  <si>
    <t xml:space="preserve">M4</t>
  </si>
  <si>
    <t xml:space="preserve">Part refund</t>
  </si>
  <si>
    <t xml:space="preserve">"Sorry about the {item}. We've refunded ₹X for it to the card or UPI you paid with."</t>
  </si>
  <si>
    <t xml:space="preserve">M5</t>
  </si>
  <si>
    <t xml:space="preserve">Replacement</t>
  </si>
  <si>
    <t xml:space="preserve">"We're making a fresh {order or item} for you now, at no extra cost. New ETA: {time}."</t>
  </si>
  <si>
    <t xml:space="preserve">M6</t>
  </si>
  <si>
    <t xml:space="preserve">Checking</t>
  </si>
  <si>
    <t xml:space="preserve">"Thanks for telling us. We're checking with the delivery partner and will get back to you by {time, within 2 hours}."</t>
  </si>
  <si>
    <t xml:space="preserve">M7</t>
  </si>
  <si>
    <t xml:space="preserve">Delivery fee back for lateness</t>
  </si>
  <si>
    <t xml:space="preserve">"Your order came later than we promised, so we've refunded your delivery fee of ₹X."</t>
  </si>
  <si>
    <t xml:space="preserve">M8</t>
  </si>
  <si>
    <t xml:space="preserve">Rider asked for extra money</t>
  </si>
  <si>
    <t xml:space="preserve">"You never owe anything at the door. If you paid the rider anything extra, tell us how much and we'll return it to you."</t>
  </si>
  <si>
    <t xml:space="preserve">M9</t>
  </si>
  <si>
    <t xml:space="preserve">First reply to a safety complaint</t>
  </si>
  <si>
    <t xml:space="preserve">"We're so sorry. Your safety comes first. If you're in danger right now, please call 112. We've taken this rider off our orders and refunded you in full. {Name} from our team will call you in the next 15 minutes."</t>
  </si>
  <si>
    <t xml:space="preserve">M10</t>
  </si>
  <si>
    <t xml:space="preserve">Diner wants to go to the police</t>
  </si>
  <si>
    <t xml:space="preserve">"We'll help. Here are your order details and a letter from {restaurant}. If the police contact us, we'll give them everything we have about the rider."</t>
  </si>
  <si>
    <t xml:space="preserve">M11</t>
  </si>
  <si>
    <t xml:space="preserve">Payment trick</t>
  </si>
  <si>
    <t xml:space="preserve">"Your order was already fully paid. Please don't pay anyone at the door or share any bank OTP. If you've paid or shared an OTP, call your bank now and report it on 1930."</t>
  </si>
  <si>
    <t xml:space="preserve">Own rider through Flash (Type 2): what can still be claimed</t>
  </si>
  <si>
    <t xml:space="preserve">UE cards</t>
  </si>
  <si>
    <t xml:space="preserve">Type 2 claim</t>
  </si>
  <si>
    <t xml:space="preserve">UE-01, UE-03, UE-04, UE-06 (no rider, drop-out, not moving, refused)</t>
  </si>
  <si>
    <t xml:space="preserve">C4. It's the restaurant's own staff. Exception: Flash fallback to partners failed (OF-03)</t>
  </si>
  <si>
    <t xml:space="preserve">UE-02 (serviceability said yes, then rejected)</t>
  </si>
  <si>
    <t xml:space="preserve">C1 if the check and the rejection both came from Flash</t>
  </si>
  <si>
    <t xml:space="preserve">UE-05, UE-13, UE-19 (late pickup, batching, detour)</t>
  </si>
  <si>
    <t xml:space="preserve">C4. Exception: Flash batched the order against the restaurant's settings, then C1</t>
  </si>
  <si>
    <t xml:space="preserve">UE-07, UE-35, UE-36, UE-37 (system cancels, false status, lost status, duplicate)</t>
  </si>
  <si>
    <t xml:space="preserve">Same as Type 1. These are software faults, so C1 or C3</t>
  </si>
  <si>
    <t xml:space="preserve">UE-08 (weather, strike)</t>
  </si>
  <si>
    <t xml:space="preserve">UE-09 to UE-12, UE-14 to UE-18, UE-20, UE-22 to UE-31 (rider handling and door cases)</t>
  </si>
  <si>
    <t xml:space="preserve">C4. Restaurant carries it</t>
  </si>
  <si>
    <t xml:space="preserve">UE-21 (wrong place)</t>
  </si>
  <si>
    <t xml:space="preserve">See OF-08</t>
  </si>
  <si>
    <t xml:space="preserve">UE-33 (chargeback)</t>
  </si>
  <si>
    <t xml:space="preserve">C1 only if Flash didn't store the OTP, photo or GPS the rider captured</t>
  </si>
  <si>
    <t xml:space="preserve">UE-34 (tracking wrong)</t>
  </si>
  <si>
    <t xml:space="preserve">C1 if the tracking link was wrong while the rider app was sending the right location</t>
  </si>
  <si>
    <t xml:space="preserve">Rider behaviour bordering on crime</t>
  </si>
  <si>
    <t xml:space="preserve">What it covers</t>
  </si>
  <si>
    <t xml:space="preserve">Response</t>
  </si>
  <si>
    <t xml:space="preserve">1. Misconduct</t>
  </si>
  <si>
    <t xml:space="preserve">Rude, asks politely for a tip, careless handling, sloppy with the OTP</t>
  </si>
  <si>
    <t xml:space="preserve">The normal cards (UE-26, UE-27 and so on). Refund if needed, report, block after 3 complaints</t>
  </si>
  <si>
    <t xml:space="preserve">2. Serious</t>
  </si>
  <si>
    <t xml:space="preserve">Threats, forcing extra money, stealing or deliberately eating the food, drunk or high on duty, verbal abuse or slurs, payment tricks</t>
  </si>
  <si>
    <t xml:space="preserve">Blocked from TF orders after one incident. Written complaint to uEngage within 24 hours. Full refund. Help the diner report fraud</t>
  </si>
  <si>
    <t xml:space="preserve">3. Crime or safety</t>
  </si>
  <si>
    <t xml:space="preserve">Assault, sexual harassment, trying to get into the home, stalking, contacting the diner after delivery, misusing the diner's number, address or photos, spiking or contaminating food, anything involving a child</t>
  </si>
  <si>
    <t xml:space="preserve">The Level 3 steps below, straight away</t>
  </si>
  <si>
    <t xml:space="preserve">Level 3 steps (in this order)</t>
  </si>
  <si>
    <t xml:space="preserve">1. Safety first. If the diner, or anyone at the address, is in danger now, tell them to call 112. Stay with them on call or WhatsApp. Don't ask for proof.</t>
  </si>
  <si>
    <t xml:space="preserve">2. Full refund at once (R1), with no evidence asked for, plus a goodwill gesture from the restaurant (for example the next order free). Any payment for harm beyond that is a legal matter, never a refund line.</t>
  </si>
  <si>
    <t xml:space="preserve">3. Don't contact, confront or warn the rider. Everything goes through uEngage or the police.</t>
  </si>
  <si>
    <t xml:space="preserve">4. Freeze the evidence the same day. Ask uEngage in writing to keep E1 to E6 for the task (timeline, GPS trail, OTP and photos, call log, rider KYC) past their normal deletion time. Save TF's own order record, webhooks and the diner chat (E10). Ask the restaurant to keep any CCTV from pickup.</t>
  </si>
  <si>
    <t xml:space="preserve">5. Block the rider across all TF restaurants in TF's own block list, and ask uEngage in writing to take the rider off TF orders. Don't wait for three complaints.</t>
  </si>
  <si>
    <t xml:space="preserve">6. Help the diner go to the police if they choose to. Give them the order number, times, restaurant details and a short letter from the restaurant confirming the delivery. Share the rider's identity and KYC only with the police, on their written request, never with the diner directly. That keeps the restaurant and TF within data protection law.</t>
  </si>
  <si>
    <t xml:space="preserve">7. Escalate within 1 hour to the TF lead, the restaurant owner and uEngage's escalation contact. Log it as a safety incident, which only those people can open.</t>
  </si>
  <si>
    <t xml:space="preserve">8. Check for a data breach. If the rider used the diner's number, address or photos after the delivery, get a lawyer's view on whether it must be reported as a personal data breach. The restaurant is responsible for the diner's data. uEngage has promised to tell it about breaches within 24 hours.</t>
  </si>
  <si>
    <t xml:space="preserve">9. Follow up. Call the diner within 24 hours, and again when uEngage or the police reply. Don't close the incident until they've had an answer.</t>
  </si>
  <si>
    <t xml:space="preserve">Helplines to give the diner: 112 (emergency), 1091 (women's helpline), 1930 (online money fraud).</t>
  </si>
  <si>
    <t xml:space="preserve">Children: if the victim of a sexual offence is under 18, Indian law (POCSO) requires anyone who learns of it to report it to the police. TF and the restaurant must report it themselves. It's not the family's choice to skip it.</t>
  </si>
  <si>
    <t xml:space="preserve">Fairness to the rider: the rider is blocked from TF orders to protect diners, but TF never calls the rider a criminal, in public or to other restaurants. Only the police and courts decide that (see CR-17).</t>
  </si>
  <si>
    <t xml:space="preserve">Decision flow for TF ops</t>
  </si>
  <si>
    <t xml:space="preserve">1. Is the diner safe? If not (UE-15, or any case in section 7I), handle that first. For Level 3, follow the Level 3 steps and put everything else below on hold.</t>
  </si>
  <si>
    <t xml:space="preserve">2. Did the food leave the restaurant? Check E1 + E3.</t>
  </si>
  <si>
    <t xml:space="preserve">- No: section A. Cancel or wait, then R1 or R3.</t>
  </si>
  <si>
    <t xml:space="preserve">- Yes: go to 3.</t>
  </si>
  <si>
    <t xml:space="preserve">3. Did it reach the right diner? Check E4 + E2 + E5.</t>
  </si>
  <si>
    <t xml:space="preserve">- No or unclear: sections C and D. R1 or replacement.</t>
  </si>
  <si>
    <t xml:space="preserve">- Yes: go to 4.</t>
  </si>
  <si>
    <t xml:space="preserve">4. Was it in good shape and on time? Check E9 + E1.</t>
  </si>
  <si>
    <t xml:space="preserve">- Damaged, missing or late: R2, R3 or R4.</t>
  </si>
  <si>
    <t xml:space="preserve">5. Who was the rider? Type 1 partner rider, Type 2 own rider through Flash, or Type 3 outside uEngage (section 1a). The diner outcome stays the same, but the claim changes (section 7G and 7H).</t>
  </si>
  <si>
    <t xml:space="preserve">6. Whose fault? Use the card. If it's in section 9, no uEngage claim.</t>
  </si>
  <si>
    <t xml:space="preserve">7. Owner approves on the dashboard, cause "Delivery issue" + reason code + rider type. The refund goes out, the rider is cancelled if still active, and the claim is logged (to uEngage with the task id, or to the outside company with its booking id) with the evidence attached.</t>
  </si>
  <si>
    <t xml:space="preserve">8. Close the loop: the owner marks the claim "Claimed", then "Received" (PRD section 13).</t>
  </si>
  <si>
    <t xml:space="preserve">Target times: diner gets a first reply (M6) within 10 minutes, a decision within 2 hours in service hours.</t>
  </si>
  <si>
    <t xml:space="preserve">Look-alike cases: not uEngage's fault</t>
  </si>
  <si>
    <t xml:space="preserve">Case</t>
  </si>
  <si>
    <t xml:space="preserve">Whose fault</t>
  </si>
  <si>
    <t xml:space="preserve">uEngage wallet too low, task rejected</t>
  </si>
  <si>
    <t xml:space="preserve">Restaurant</t>
  </si>
  <si>
    <t xml:space="preserve">R1 to the diner. Restaurant carries it. The wallet-low alert already exists</t>
  </si>
  <si>
    <t xml:space="preserve">Kitchen late, rider waited</t>
  </si>
  <si>
    <t xml:space="preserve">R3 if very late. No claim. E7 vs E1 proves it</t>
  </si>
  <si>
    <t xml:space="preserve">Wrong or missing item packed</t>
  </si>
  <si>
    <t xml:space="preserve">R2. No claim</t>
  </si>
  <si>
    <t xml:space="preserve">Packaging failed (lid, thin box) though handling was fine</t>
  </si>
  <si>
    <t xml:space="preserve">R2 or R1. No claim</t>
  </si>
  <si>
    <t xml:space="preserve">Restaurant handed the wrong bag though the rider gave the right OTP</t>
  </si>
  <si>
    <t xml:space="preserve">Replacement or R1. No claim</t>
  </si>
  <si>
    <t xml:space="preserve">Restaurant skipped the pickup OTP and a fake rider took it</t>
  </si>
  <si>
    <t xml:space="preserve">Diner gave a wrong or incomplete address or pin</t>
  </si>
  <si>
    <t xml:space="preserve">Diner</t>
  </si>
  <si>
    <t xml:space="preserve">No refund (policy). Offer redelivery for a fee</t>
  </si>
  <si>
    <t xml:space="preserve">Diner didn't answer 2+ proper calls from the address</t>
  </si>
  <si>
    <t xml:space="preserve">No refund (policy). E5 proves it</t>
  </si>
  <si>
    <t xml:space="preserve">Diner asked for contactless and it was left as asked</t>
  </si>
  <si>
    <t xml:space="preserve">Counts as delivered</t>
  </si>
  <si>
    <t xml:space="preserve">TF sent the wrong coordinates to uEngage</t>
  </si>
  <si>
    <t xml:space="preserve">TF</t>
  </si>
  <si>
    <t xml:space="preserve">R1. TF carries it</t>
  </si>
  <si>
    <t xml:space="preserve">TF refunded but didn't cancel the rider (bug D6)</t>
  </si>
  <si>
    <t xml:space="preserve">Diner keeps both. TF carries it</t>
  </si>
  <si>
    <t xml:space="preserve">TF refunded twice (bug D5)</t>
  </si>
  <si>
    <t xml:space="preserve">TF carries it</t>
  </si>
  <si>
    <t xml:space="preserve">Weather, strike, curfew</t>
  </si>
  <si>
    <t xml:space="preserve">Nobody</t>
  </si>
  <si>
    <t xml:space="preserve">R1. Ask for any task charge back</t>
  </si>
  <si>
    <t xml:space="preserve">Restaurant's own rider (Type 2 or 3) got it wrong</t>
  </si>
  <si>
    <t xml:space="preserve">Same diner outcome. No uEngage claim</t>
  </si>
  <si>
    <t xml:space="preserve">Partner rider used as fallback costs ₹65+ instead of ₹5</t>
  </si>
  <si>
    <t xml:space="preserve">Nobody, agreed price</t>
  </si>
  <si>
    <t xml:space="preserve">No claim (OF-04)</t>
  </si>
  <si>
    <t xml:space="preserve">Restaurant booked an outside rider and left the uEngage task running</t>
  </si>
  <si>
    <t xml:space="preserve">No claim (XP-01)</t>
  </si>
  <si>
    <t xml:space="preserve">Outside company (Type 3) got it wrong</t>
  </si>
  <si>
    <t xml:space="preserve">That company</t>
  </si>
  <si>
    <t xml:space="preserve">Claim from that company (C5), not uEngage</t>
  </si>
  <si>
    <t xml:space="preserve">Reason codes (cause = Delivery issue)</t>
  </si>
  <si>
    <t xml:space="preserve">Every order also stores rider_type: uengage_3pl, own_flash, own_direct or outside_provider.</t>
  </si>
  <si>
    <t xml:space="preserve">Scenario ID</t>
  </si>
  <si>
    <t xml:space="preserve">Changes to today's code</t>
  </si>
  <si>
    <t xml:space="preserve">#</t>
  </si>
  <si>
    <t xml:space="preserve">Change</t>
  </si>
  <si>
    <t xml:space="preserve">Why</t>
  </si>
  <si>
    <t xml:space="preserve">Scenarios</t>
  </si>
  <si>
    <t xml:space="preserve">1</t>
  </si>
  <si>
    <t xml:space="preserve">Never refund automatically on a uEngage cancelled webhook. Put it under "Needs attention"</t>
  </si>
  <si>
    <t xml:space="preserve">False cancels</t>
  </si>
  <si>
    <t xml:space="preserve">UE-07, UE-35</t>
  </si>
  <si>
    <t xml:space="preserve">Poll trackTaskStatus for tasks with no update in 10 minutes, or over ETA + 15</t>
  </si>
  <si>
    <t xml:space="preserve">Lost webhooks, silent cancels</t>
  </si>
  <si>
    <t xml:space="preserve">UE-07, UE-36</t>
  </si>
  <si>
    <t xml:space="preserve">Keep the Razorpay transfer on hold while a delivery complaint is open</t>
  </si>
  <si>
    <t xml:space="preserve">False "delivered" releases money early</t>
  </si>
  <si>
    <t xml:space="preserve">UE-22, UE-30</t>
  </si>
  <si>
    <t xml:space="preserve">4</t>
  </si>
  <si>
    <t xml:space="preserve">Cancel the uEngage task in the same step as the refund</t>
  </si>
  <si>
    <t xml:space="preserve">Bug D6</t>
  </si>
  <si>
    <t xml:space="preserve">All</t>
  </si>
  <si>
    <t xml:space="preserve">5</t>
  </si>
  <si>
    <t xml:space="preserve">Send TF's order id as the unique reference on createTask</t>
  </si>
  <si>
    <t xml:space="preserve">Duplicate tasks</t>
  </si>
  <si>
    <t xml:space="preserve">6</t>
  </si>
  <si>
    <t xml:space="preserve">Save the serviceability reply, the exact createTask request (with pin coordinates) and every webhook, with timestamps</t>
  </si>
  <si>
    <t xml:space="preserve">Proof for claims</t>
  </si>
  <si>
    <t xml:space="preserve">UE-02, UE-21, all</t>
  </si>
  <si>
    <t xml:space="preserve">7</t>
  </si>
  <si>
    <t xml:space="preserve">Kitchen screen: pickup OTP required, bag count, "rider refused" and "no delivery bag" buttons, handover photo</t>
  </si>
  <si>
    <t xml:space="preserve">Proof at pickup</t>
  </si>
  <si>
    <t xml:space="preserve">UE-06, UE-11, UE-12, UE-17, UE-31</t>
  </si>
  <si>
    <t xml:space="preserve">8</t>
  </si>
  <si>
    <t xml:space="preserve">Record rider wait time (ready to pickup) and rider drop-outs per task</t>
  </si>
  <si>
    <t xml:space="preserve">Proves lateness is rider-side</t>
  </si>
  <si>
    <t xml:space="preserve">UE-03, UE-05</t>
  </si>
  <si>
    <t xml:space="preserve">9</t>
  </si>
  <si>
    <t xml:space="preserve">Auto-refund the delivery fee (R3) when delivered 30+ minutes after the checkout ETA and E1/E7 show a rider-side delay</t>
  </si>
  <si>
    <t xml:space="preserve">Lateness rule</t>
  </si>
  <si>
    <t xml:space="preserve">UE-05, UE-13, UE-19</t>
  </si>
  <si>
    <t xml:space="preserve">10</t>
  </si>
  <si>
    <t xml:space="preserve">uEngage claim record: task id, reason code, claim type, amount, evidence links, status (To claim, Claimed, Received, Rejected)</t>
  </si>
  <si>
    <t xml:space="preserve">PRD section 13</t>
  </si>
  <si>
    <t xml:space="preserve">11</t>
  </si>
  <si>
    <t xml:space="preserve">Monthly claims export per restaurant (PRD PAY-SM-05)</t>
  </si>
  <si>
    <t xml:space="preserve">Reconcile with uEngage</t>
  </si>
  <si>
    <t xml:space="preserve">12</t>
  </si>
  <si>
    <t xml:space="preserve">Rider watchlist: count complaints per rider (E6). Three strikes means ask uEngage to block them. Any Level 2 or 3 code blocks after one</t>
  </si>
  <si>
    <t xml:space="preserve">Repeat offenders and serious cases</t>
  </si>
  <si>
    <t xml:space="preserve">UE-18, UE-26, UE-27, section 7I</t>
  </si>
  <si>
    <t xml:space="preserve">13</t>
  </si>
  <si>
    <t xml:space="preserve">Store rider_type on every order. Read it from the Flash task (own rider or partner)</t>
  </si>
  <si>
    <t xml:space="preserve">Claim type depends on it</t>
  </si>
  <si>
    <t xml:space="preserve">Section 1a</t>
  </si>
  <si>
    <t xml:space="preserve">14</t>
  </si>
  <si>
    <t xml:space="preserve">Work out the expected task charge (₹5 own rider, ₹65 + ₹12 per km over 3 km for partners) and compare it with what the wallet was charged. Flag gaps</t>
  </si>
  <si>
    <t xml:space="preserve">Catch wrong charges</t>
  </si>
  <si>
    <t xml:space="preserve">OF-04, UE-37</t>
  </si>
  <si>
    <t xml:space="preserve">15</t>
  </si>
  <si>
    <t xml:space="preserve">"Deliver another way" button: cancels the uEngage task, records company, booking id and rider phone, sends the diner a rider update, and shows "Delivered" with a photo upload</t>
  </si>
  <si>
    <t xml:space="preserve">Type 3 deliveries have no data otherwise</t>
  </si>
  <si>
    <t xml:space="preserve">XP-01 to XP-07</t>
  </si>
  <si>
    <t xml:space="preserve">16</t>
  </si>
  <si>
    <t xml:space="preserve">Hold release for Type 3: restaurant's "Delivered" tap + 24 hours, fallback order time + 6 hours + 24 hours</t>
  </si>
  <si>
    <t xml:space="preserve">No webhook to start the timer</t>
  </si>
  <si>
    <t xml:space="preserve">17</t>
  </si>
  <si>
    <t xml:space="preserve">Show the restaurant's Flash fallback setting (own riders first, then partners) on the owner dashboard</t>
  </si>
  <si>
    <t xml:space="preserve">Stops arguments about who should have delivered</t>
  </si>
  <si>
    <t xml:space="preserve">18</t>
  </si>
  <si>
    <t xml:space="preserve">TF-wide rider block list, keyed on rider phone and uEngage rider id, checked on every assignment. If a blocked rider is assigned, cancel and rebook automatically</t>
  </si>
  <si>
    <t xml:space="preserve">One-incident blocks must work across all TF restaurants</t>
  </si>
  <si>
    <t xml:space="preserve">Section 7I</t>
  </si>
  <si>
    <t xml:space="preserve">19</t>
  </si>
  <si>
    <t xml:space="preserve">Safety incident record, separate from normal refund requests. Only the TF lead, the restaurant owner and named ops staff can open it. Every view is logged</t>
  </si>
  <si>
    <t xml:space="preserve">Sensitive details, possible police case</t>
  </si>
  <si>
    <t xml:space="preserve">CR-03 to CR-16</t>
  </si>
  <si>
    <t xml:space="preserve">20</t>
  </si>
  <si>
    <t xml:space="preserve">"Report a safety problem" link in every rider-assigned and delivered WhatsApp message. Goes straight to the on-duty TF person with an alert, not to the normal queue</t>
  </si>
  <si>
    <t xml:space="preserve">Diner can raise it in seconds</t>
  </si>
  <si>
    <t xml:space="preserve">21</t>
  </si>
  <si>
    <t xml:space="preserve">Evidence freeze: one click sends uEngage the standard written request to keep E1 to E6 for that task, and locks TF's own records for that order from deletion</t>
  </si>
  <si>
    <t xml:space="preserve">Police cases can take months</t>
  </si>
  <si>
    <t xml:space="preserve">Level 3 step 4</t>
  </si>
  <si>
    <t xml:space="preserve">22</t>
  </si>
  <si>
    <t xml:space="preserve">Address flag: a blocked rider can never be sent to an address linked to a Level 3 incident, even if uEngage unblocks them</t>
  </si>
  <si>
    <t xml:space="preserve">Stalking</t>
  </si>
  <si>
    <t xml:space="preserve">Get from uEngage in writing</t>
  </si>
  <si>
    <t xml:space="preserve">Update the Status column as uEngage replies: Not asked yet, Asked, Agreed, Refused.</t>
  </si>
  <si>
    <t xml:space="preserve">Ask</t>
  </si>
  <si>
    <t xml:space="preserve">Detail</t>
  </si>
  <si>
    <t xml:space="preserve">Status</t>
  </si>
  <si>
    <t xml:space="preserve">Notes</t>
  </si>
  <si>
    <t xml:space="preserve">Claims clause</t>
  </si>
  <si>
    <t xml:space="preserve">which of the cases above uEngage pays back (lost, damaged, tampered, false delivered, rider refusal, extra cash demanded), how much (refund + task charge + food cost), how to file, the time limit, and how fast it's credited to the wallet.</t>
  </si>
  <si>
    <t xml:space="preserve">Not asked yet</t>
  </si>
  <si>
    <t xml:space="preserve">Partner riders</t>
  </si>
  <si>
    <t xml:space="preserve">uEngage takes the claim even when the rider came from Porter, Rapido, Shadowfax or another partner. TF doesn't chase the partners.</t>
  </si>
  <si>
    <t xml:space="preserve">Evidence on request</t>
  </si>
  <si>
    <t xml:space="preserve">timeline, GPS trail, pickup and delivery OTP and photo, masked-call log and rider details for any task, within 24 hours. Needed for chargebacks too.</t>
  </si>
  <si>
    <t xml:space="preserve">Webhooks for every status</t>
  </si>
  <si>
    <t xml:space="preserve">including cancels uEngage makes itself, with the reason and who cancelled.</t>
  </si>
  <si>
    <t xml:space="preserve">No charge on failed tasks</t>
  </si>
  <si>
    <t xml:space="preserve">no platform fee or partner fee when the task is cancelled, rejected or not delivered because of uEngage's side.</t>
  </si>
  <si>
    <t xml:space="preserve">Order batching</t>
  </si>
  <si>
    <t xml:space="preserve">the option to switch it off, or cap it, for TF restaurants.</t>
  </si>
  <si>
    <t xml:space="preserve">Rider blocking</t>
  </si>
  <si>
    <t xml:space="preserve">TF can have a named rider kept off its restaurants' orders.</t>
  </si>
  <si>
    <t xml:space="preserve">Time limits</t>
  </si>
  <si>
    <t xml:space="preserve">how long uEngage keeps GPS and call records (need at least 120 days for chargebacks).</t>
  </si>
  <si>
    <t xml:space="preserve">Prices in writing</t>
  </si>
  <si>
    <t xml:space="preserve">₹5 per own-rider delivery, and ₹65 for the first 3 km + ₹12 per km for partner riders. Confirm whether GST is extra, how the km are measured (road or straight line, restaurant to diner), and whether cancelled tasks are charged.</t>
  </si>
  <si>
    <t xml:space="preserve">Rider checks</t>
  </si>
  <si>
    <t xml:space="preserve">police verification for every partner rider who delivers TF orders, not just KYC. Proof on request.</t>
  </si>
  <si>
    <t xml:space="preserve">Masked calling only</t>
  </si>
  <si>
    <t xml:space="preserve">and the diner's name, address and phone hidden in the rider app once the task closes.</t>
  </si>
  <si>
    <t xml:space="preserve">One-incident blocking</t>
  </si>
  <si>
    <t xml:space="preserve">at TF's request for Level 2 and 3 cases, without needing uEngage's own investigation to finish first.</t>
  </si>
  <si>
    <t xml:space="preserve">24x7 escalation contact</t>
  </si>
  <si>
    <t xml:space="preserve">at uEngage for safety incidents, with a reply within 1 hour.</t>
  </si>
  <si>
    <t xml:space="preserve">Evidence kept for police cases</t>
  </si>
  <si>
    <t xml:space="preserve">on written request, for as long as the case is open.</t>
  </si>
  <si>
    <t xml:space="preserve">Cover for crime by their riders</t>
  </si>
  <si>
    <t xml:space="preserve">uEngage pays the restaurant's costs and defends it against claims when one of its riders (or someone the rider passed the task to) commits a crime on a TF order.</t>
  </si>
  <si>
    <t xml:space="preserve">Own-rider software faults</t>
  </si>
  <si>
    <t xml:space="preserve">for Type 2, uEngage pays back when its app, assignment, fallback or proof steps fail (OF-01, OF-02, OF-03, OF-07, OF-08), not just the ₹5.</t>
  </si>
</sst>
</file>

<file path=xl/styles.xml><?xml version="1.0" encoding="utf-8"?>
<styleSheet xmlns="http://schemas.openxmlformats.org/spreadsheetml/2006/main">
  <numFmts count="4">
    <numFmt numFmtId="164" formatCode="General"/>
    <numFmt numFmtId="165" formatCode="#,##0;\(#,##0\);\-"/>
    <numFmt numFmtId="166" formatCode="0"/>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sz val="9"/>
      <color rgb="FF595959"/>
      <name val="Arial"/>
      <family val="0"/>
      <charset val="1"/>
    </font>
  </fonts>
  <fills count="7">
    <fill>
      <patternFill patternType="none"/>
    </fill>
    <fill>
      <patternFill patternType="gray125"/>
    </fill>
    <fill>
      <patternFill patternType="solid">
        <fgColor rgb="FF1F3A5F"/>
        <bgColor rgb="FF333333"/>
      </patternFill>
    </fill>
    <fill>
      <patternFill patternType="solid">
        <fgColor rgb="FFDCE6F1"/>
        <bgColor rgb="FFFCE4D6"/>
      </patternFill>
    </fill>
    <fill>
      <patternFill patternType="solid">
        <fgColor rgb="FFF8CBAD"/>
        <bgColor rgb="FFFCE4D6"/>
      </patternFill>
    </fill>
    <fill>
      <patternFill patternType="solid">
        <fgColor rgb="FFFCE4D6"/>
        <bgColor rgb="FFDCE6F1"/>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9" fillId="6"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6" fontId="9" fillId="6" borderId="1" xfId="0" applyFont="true" applyBorder="true" applyAlignment="false" applyProtection="false">
      <alignment horizontal="general" vertical="bottom" textRotation="0" wrapText="false" indent="0" shrinkToFit="false"/>
      <protection locked="true" hidden="false"/>
    </xf>
    <xf numFmtId="167" fontId="9" fillId="6"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A5F"/>
          <bgColor rgb="FF000000"/>
        </patternFill>
      </fill>
    </dxf>
    <dxf>
      <fill>
        <patternFill patternType="solid">
          <fgColor rgb="FFDCE6F1"/>
          <bgColor rgb="FF000000"/>
        </patternFill>
      </fill>
    </dxf>
    <dxf>
      <fill>
        <patternFill patternType="solid">
          <fgColor rgb="FFF8CBAD"/>
          <bgColor rgb="FF000000"/>
        </patternFill>
      </fill>
    </dxf>
    <dxf>
      <fill>
        <patternFill patternType="solid">
          <fgColor rgb="FFFCE4D6"/>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3.xml.rels><?xml version="1.0" encoding="UTF-8"?>
<Relationships xmlns="http://schemas.openxmlformats.org/package/2006/relationships"><Relationship Id="rId1" Type="http://schemas.openxmlformats.org/officeDocument/2006/relationships/drawing" Target="../drawings/drawing10.xml"/>
</Relationships>
</file>

<file path=xl/worksheets/_rels/sheet14.xml.rels><?xml version="1.0" encoding="UTF-8"?>
<Relationships xmlns="http://schemas.openxmlformats.org/package/2006/relationships"><Relationship Id="rId1" Type="http://schemas.openxmlformats.org/officeDocument/2006/relationships/drawing" Target="../drawings/drawing11.xml"/>
</Relationships>
</file>

<file path=xl/worksheets/_rels/sheet15.xml.rels><?xml version="1.0" encoding="UTF-8"?>
<Relationships xmlns="http://schemas.openxmlformats.org/package/2006/relationships"><Relationship Id="rId1" Type="http://schemas.openxmlformats.org/officeDocument/2006/relationships/drawing" Target="../drawings/drawing12.xml"/>
</Relationships>
</file>

<file path=xl/worksheets/_rels/sheet16.xml.rels><?xml version="1.0" encoding="UTF-8"?>
<Relationships xmlns="http://schemas.openxmlformats.org/package/2006/relationships"><Relationship Id="rId1" Type="http://schemas.openxmlformats.org/officeDocument/2006/relationships/drawing" Target="../drawings/drawing1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2" min="2" style="0" width="9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23.85" hidden="false" customHeight="false" outlineLevel="0" collapsed="false">
      <c r="A5" s="4" t="s">
        <v>3</v>
      </c>
    </row>
    <row r="6" customFormat="false" ht="23.85" hidden="false" customHeight="false" outlineLevel="0" collapsed="false">
      <c r="A6" s="4" t="s">
        <v>4</v>
      </c>
    </row>
    <row r="7" customFormat="false" ht="23.85" hidden="false" customHeight="false" outlineLevel="0" collapsed="false">
      <c r="A7" s="4" t="s">
        <v>5</v>
      </c>
    </row>
    <row r="8" customFormat="false" ht="35.05" hidden="false" customHeight="false" outlineLevel="0" collapsed="false">
      <c r="A8" s="4" t="s">
        <v>6</v>
      </c>
    </row>
    <row r="10" customFormat="false" ht="15" hidden="false" customHeight="false" outlineLevel="0" collapsed="false">
      <c r="A10" s="3" t="s">
        <v>7</v>
      </c>
    </row>
    <row r="11" customFormat="false" ht="23.85" hidden="false" customHeight="false" outlineLevel="0" collapsed="false">
      <c r="A11" s="4" t="s">
        <v>8</v>
      </c>
    </row>
    <row r="12" customFormat="false" ht="35.05" hidden="false" customHeight="false" outlineLevel="0" collapsed="false">
      <c r="A12" s="4" t="s">
        <v>9</v>
      </c>
    </row>
    <row r="13" customFormat="false" ht="23.85" hidden="false" customHeight="false" outlineLevel="0" collapsed="false">
      <c r="A13" s="4" t="s">
        <v>10</v>
      </c>
    </row>
    <row r="14" customFormat="false" ht="23.85" hidden="false" customHeight="false" outlineLevel="0" collapsed="false">
      <c r="A14" s="4" t="s">
        <v>11</v>
      </c>
    </row>
    <row r="15" customFormat="false" ht="15" hidden="false" customHeight="false" outlineLevel="0" collapsed="false">
      <c r="A15" s="4" t="s">
        <v>12</v>
      </c>
    </row>
    <row r="16" customFormat="false" ht="15" hidden="false" customHeight="false" outlineLevel="0" collapsed="false">
      <c r="A16" s="4" t="s">
        <v>13</v>
      </c>
    </row>
    <row r="18" customFormat="false" ht="15" hidden="false" customHeight="false" outlineLevel="0" collapsed="false">
      <c r="A18" s="3" t="s">
        <v>14</v>
      </c>
    </row>
    <row r="19" customFormat="false" ht="23.85" hidden="false" customHeight="false" outlineLevel="0" collapsed="false">
      <c r="A19" s="4" t="s">
        <v>15</v>
      </c>
    </row>
    <row r="21" customFormat="false" ht="15" hidden="false" customHeight="false" outlineLevel="0" collapsed="false">
      <c r="A21" s="3" t="s">
        <v>16</v>
      </c>
    </row>
    <row r="22" customFormat="false" ht="15" hidden="false" customHeight="false" outlineLevel="0" collapsed="false">
      <c r="A22" s="5" t="s">
        <v>17</v>
      </c>
      <c r="B22" s="6" t="s">
        <v>18</v>
      </c>
    </row>
    <row r="23" customFormat="false" ht="15" hidden="false" customHeight="false" outlineLevel="0" collapsed="false">
      <c r="A23" s="5" t="s">
        <v>19</v>
      </c>
      <c r="B23" s="6" t="s">
        <v>20</v>
      </c>
    </row>
    <row r="24" customFormat="false" ht="15" hidden="false" customHeight="false" outlineLevel="0" collapsed="false">
      <c r="A24" s="5" t="s">
        <v>21</v>
      </c>
      <c r="B24" s="6" t="s">
        <v>22</v>
      </c>
    </row>
    <row r="25" customFormat="false" ht="15" hidden="false" customHeight="false" outlineLevel="0" collapsed="false">
      <c r="A25" s="5" t="s">
        <v>23</v>
      </c>
      <c r="B25" s="6" t="s">
        <v>24</v>
      </c>
    </row>
    <row r="26" customFormat="false" ht="15" hidden="false" customHeight="false" outlineLevel="0" collapsed="false">
      <c r="A26" s="5" t="s">
        <v>25</v>
      </c>
      <c r="B26" s="6" t="s">
        <v>26</v>
      </c>
    </row>
    <row r="27" customFormat="false" ht="15" hidden="false" customHeight="false" outlineLevel="0" collapsed="false">
      <c r="A27" s="5" t="s">
        <v>27</v>
      </c>
      <c r="B27" s="6" t="s">
        <v>28</v>
      </c>
    </row>
    <row r="28" customFormat="false" ht="15" hidden="false" customHeight="false" outlineLevel="0" collapsed="false">
      <c r="A28" s="5" t="s">
        <v>29</v>
      </c>
      <c r="B28" s="6" t="s">
        <v>30</v>
      </c>
    </row>
    <row r="29" customFormat="false" ht="15" hidden="false" customHeight="false" outlineLevel="0" collapsed="false">
      <c r="A29" s="5" t="s">
        <v>31</v>
      </c>
      <c r="B29" s="6" t="s">
        <v>32</v>
      </c>
    </row>
    <row r="30" customFormat="false" ht="15" hidden="false" customHeight="false" outlineLevel="0" collapsed="false">
      <c r="A30" s="5" t="s">
        <v>33</v>
      </c>
      <c r="B30" s="6" t="s">
        <v>34</v>
      </c>
    </row>
    <row r="31" customFormat="false" ht="15" hidden="false" customHeight="false" outlineLevel="0" collapsed="false">
      <c r="A31" s="5" t="s">
        <v>35</v>
      </c>
      <c r="B31" s="6" t="s">
        <v>36</v>
      </c>
    </row>
    <row r="32" customFormat="false" ht="15" hidden="false" customHeight="false" outlineLevel="0" collapsed="false">
      <c r="A32" s="5" t="s">
        <v>37</v>
      </c>
      <c r="B32" s="6" t="s">
        <v>38</v>
      </c>
    </row>
    <row r="33" customFormat="false" ht="15" hidden="false" customHeight="false" outlineLevel="0" collapsed="false">
      <c r="A33" s="5" t="s">
        <v>39</v>
      </c>
      <c r="B33" s="6" t="s">
        <v>40</v>
      </c>
    </row>
    <row r="34" customFormat="false" ht="15" hidden="false" customHeight="false" outlineLevel="0" collapsed="false">
      <c r="A34" s="5" t="s">
        <v>41</v>
      </c>
      <c r="B34" s="6" t="s">
        <v>42</v>
      </c>
    </row>
    <row r="35" customFormat="false" ht="15" hidden="false" customHeight="false" outlineLevel="0" collapsed="false">
      <c r="A35" s="5" t="s">
        <v>43</v>
      </c>
      <c r="B35" s="6" t="s">
        <v>44</v>
      </c>
    </row>
    <row r="36" customFormat="false" ht="15" hidden="false" customHeight="false" outlineLevel="0" collapsed="false">
      <c r="A36" s="5" t="s">
        <v>45</v>
      </c>
      <c r="B36" s="6"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60"/>
    <col collapsed="false" customWidth="true" hidden="false" outlineLevel="0" max="3" min="3" style="0" width="55"/>
    <col collapsed="false" customWidth="true" hidden="false" outlineLevel="0" max="4" min="4" style="0" width="32"/>
    <col collapsed="false" customWidth="true" hidden="false" outlineLevel="0" max="5" min="5" style="0" width="11"/>
  </cols>
  <sheetData>
    <row r="1" customFormat="false" ht="17.35" hidden="false" customHeight="false" outlineLevel="0" collapsed="false">
      <c r="A1" s="1" t="s">
        <v>47</v>
      </c>
    </row>
    <row r="2" customFormat="false" ht="15" hidden="false" customHeight="false" outlineLevel="0" collapsed="false">
      <c r="A2" s="2" t="s">
        <v>1</v>
      </c>
    </row>
    <row r="4" customFormat="false" ht="23.85" hidden="false" customHeight="false" outlineLevel="0" collapsed="false">
      <c r="A4" s="7" t="s">
        <v>48</v>
      </c>
      <c r="B4" s="7" t="s">
        <v>49</v>
      </c>
      <c r="C4" s="7" t="s">
        <v>50</v>
      </c>
      <c r="D4" s="7" t="s">
        <v>51</v>
      </c>
      <c r="E4" s="7" t="s">
        <v>52</v>
      </c>
    </row>
    <row r="5" customFormat="false" ht="23.85" hidden="false" customHeight="false" outlineLevel="0" collapsed="false">
      <c r="A5" s="8" t="s">
        <v>53</v>
      </c>
      <c r="B5" s="8"/>
      <c r="C5" s="8"/>
      <c r="D5" s="8"/>
      <c r="E5" s="8"/>
    </row>
    <row r="6" customFormat="false" ht="15" hidden="false" customHeight="false" outlineLevel="0" collapsed="false">
      <c r="A6" s="9" t="s">
        <v>54</v>
      </c>
      <c r="B6" s="9" t="s">
        <v>55</v>
      </c>
      <c r="C6" s="9" t="s">
        <v>56</v>
      </c>
      <c r="D6" s="9" t="s">
        <v>57</v>
      </c>
      <c r="E6" s="9"/>
    </row>
    <row r="7" customFormat="false" ht="15" hidden="false" customHeight="false" outlineLevel="0" collapsed="false">
      <c r="A7" s="9" t="s">
        <v>58</v>
      </c>
      <c r="B7" s="9" t="s">
        <v>59</v>
      </c>
      <c r="C7" s="9" t="s">
        <v>60</v>
      </c>
      <c r="D7" s="9" t="s">
        <v>61</v>
      </c>
      <c r="E7" s="9"/>
    </row>
    <row r="8" customFormat="false" ht="15" hidden="false" customHeight="false" outlineLevel="0" collapsed="false">
      <c r="A8" s="9" t="s">
        <v>62</v>
      </c>
      <c r="B8" s="9" t="s">
        <v>63</v>
      </c>
      <c r="C8" s="9" t="s">
        <v>64</v>
      </c>
      <c r="D8" s="9" t="s">
        <v>65</v>
      </c>
      <c r="E8" s="9"/>
    </row>
    <row r="9" customFormat="false" ht="15" hidden="false" customHeight="false" outlineLevel="0" collapsed="false">
      <c r="A9" s="9" t="s">
        <v>66</v>
      </c>
      <c r="B9" s="9" t="s">
        <v>67</v>
      </c>
      <c r="C9" s="9" t="s">
        <v>68</v>
      </c>
      <c r="D9" s="9" t="s">
        <v>65</v>
      </c>
      <c r="E9" s="9"/>
    </row>
    <row r="10" customFormat="false" ht="15" hidden="false" customHeight="false" outlineLevel="0" collapsed="false">
      <c r="A10" s="9" t="s">
        <v>69</v>
      </c>
      <c r="B10" s="9" t="s">
        <v>70</v>
      </c>
      <c r="C10" s="9" t="s">
        <v>71</v>
      </c>
      <c r="D10" s="9" t="s">
        <v>65</v>
      </c>
      <c r="E10" s="9"/>
    </row>
    <row r="11" customFormat="false" ht="15" hidden="false" customHeight="false" outlineLevel="0" collapsed="false">
      <c r="A11" s="9" t="s">
        <v>72</v>
      </c>
      <c r="B11" s="9" t="s">
        <v>73</v>
      </c>
      <c r="C11" s="9" t="s">
        <v>74</v>
      </c>
      <c r="D11" s="9" t="s">
        <v>65</v>
      </c>
      <c r="E11" s="9"/>
    </row>
    <row r="12" customFormat="false" ht="15" hidden="false" customHeight="false" outlineLevel="0" collapsed="false">
      <c r="A12" s="9" t="s">
        <v>75</v>
      </c>
      <c r="B12" s="9" t="s">
        <v>76</v>
      </c>
      <c r="C12" s="9" t="s">
        <v>77</v>
      </c>
      <c r="D12" s="9" t="s">
        <v>65</v>
      </c>
      <c r="E12" s="9"/>
    </row>
    <row r="13" customFormat="false" ht="15" hidden="false" customHeight="false" outlineLevel="0" collapsed="false">
      <c r="A13" s="9" t="s">
        <v>78</v>
      </c>
      <c r="B13" s="9" t="s">
        <v>79</v>
      </c>
      <c r="C13" s="9" t="s">
        <v>60</v>
      </c>
      <c r="D13" s="9" t="s">
        <v>80</v>
      </c>
      <c r="E13" s="9"/>
    </row>
    <row r="14" customFormat="false" ht="23.85" hidden="false" customHeight="false" outlineLevel="0" collapsed="false">
      <c r="A14" s="8" t="s">
        <v>81</v>
      </c>
      <c r="B14" s="8"/>
      <c r="C14" s="8"/>
      <c r="D14" s="8"/>
      <c r="E14" s="8"/>
    </row>
    <row r="15" customFormat="false" ht="15" hidden="false" customHeight="false" outlineLevel="0" collapsed="false">
      <c r="A15" s="9" t="s">
        <v>82</v>
      </c>
      <c r="B15" s="9" t="s">
        <v>83</v>
      </c>
      <c r="C15" s="9" t="s">
        <v>84</v>
      </c>
      <c r="D15" s="9" t="s">
        <v>65</v>
      </c>
      <c r="E15" s="9"/>
    </row>
    <row r="16" customFormat="false" ht="15" hidden="false" customHeight="false" outlineLevel="0" collapsed="false">
      <c r="A16" s="9" t="s">
        <v>85</v>
      </c>
      <c r="B16" s="9" t="s">
        <v>86</v>
      </c>
      <c r="C16" s="9" t="s">
        <v>87</v>
      </c>
      <c r="D16" s="9" t="s">
        <v>65</v>
      </c>
      <c r="E16" s="9"/>
    </row>
    <row r="17" customFormat="false" ht="15" hidden="false" customHeight="false" outlineLevel="0" collapsed="false">
      <c r="A17" s="9" t="s">
        <v>88</v>
      </c>
      <c r="B17" s="9" t="s">
        <v>89</v>
      </c>
      <c r="C17" s="9" t="s">
        <v>90</v>
      </c>
      <c r="D17" s="9" t="s">
        <v>65</v>
      </c>
      <c r="E17" s="9"/>
    </row>
    <row r="18" customFormat="false" ht="15" hidden="false" customHeight="false" outlineLevel="0" collapsed="false">
      <c r="A18" s="9" t="s">
        <v>91</v>
      </c>
      <c r="B18" s="9" t="s">
        <v>92</v>
      </c>
      <c r="C18" s="9" t="s">
        <v>93</v>
      </c>
      <c r="D18" s="9" t="s">
        <v>65</v>
      </c>
      <c r="E18" s="9"/>
    </row>
    <row r="19" customFormat="false" ht="15" hidden="false" customHeight="false" outlineLevel="0" collapsed="false">
      <c r="A19" s="9" t="s">
        <v>94</v>
      </c>
      <c r="B19" s="9" t="s">
        <v>95</v>
      </c>
      <c r="C19" s="9" t="s">
        <v>96</v>
      </c>
      <c r="D19" s="9" t="s">
        <v>65</v>
      </c>
      <c r="E19" s="9"/>
    </row>
    <row r="20" customFormat="false" ht="23.85" hidden="false" customHeight="false" outlineLevel="0" collapsed="false">
      <c r="A20" s="8" t="s">
        <v>97</v>
      </c>
      <c r="B20" s="8"/>
      <c r="C20" s="8"/>
      <c r="D20" s="8"/>
      <c r="E20" s="8"/>
    </row>
    <row r="21" customFormat="false" ht="15" hidden="false" customHeight="false" outlineLevel="0" collapsed="false">
      <c r="A21" s="9" t="s">
        <v>98</v>
      </c>
      <c r="B21" s="9" t="s">
        <v>99</v>
      </c>
      <c r="C21" s="9" t="s">
        <v>100</v>
      </c>
      <c r="D21" s="9" t="s">
        <v>65</v>
      </c>
      <c r="E21" s="9"/>
    </row>
    <row r="22" customFormat="false" ht="15" hidden="false" customHeight="false" outlineLevel="0" collapsed="false">
      <c r="A22" s="9" t="s">
        <v>101</v>
      </c>
      <c r="B22" s="9" t="s">
        <v>102</v>
      </c>
      <c r="C22" s="9" t="s">
        <v>103</v>
      </c>
      <c r="D22" s="9" t="s">
        <v>104</v>
      </c>
      <c r="E22" s="9"/>
    </row>
    <row r="23" customFormat="false" ht="15" hidden="false" customHeight="false" outlineLevel="0" collapsed="false">
      <c r="A23" s="9" t="s">
        <v>105</v>
      </c>
      <c r="B23" s="9" t="s">
        <v>106</v>
      </c>
      <c r="C23" s="9" t="s">
        <v>107</v>
      </c>
      <c r="D23" s="9" t="s">
        <v>65</v>
      </c>
      <c r="E23" s="9"/>
    </row>
    <row r="24" customFormat="false" ht="15" hidden="false" customHeight="false" outlineLevel="0" collapsed="false">
      <c r="A24" s="9" t="s">
        <v>108</v>
      </c>
      <c r="B24" s="9" t="s">
        <v>109</v>
      </c>
      <c r="C24" s="9" t="s">
        <v>110</v>
      </c>
      <c r="D24" s="9" t="s">
        <v>65</v>
      </c>
      <c r="E24" s="9"/>
    </row>
    <row r="25" customFormat="false" ht="15" hidden="false" customHeight="false" outlineLevel="0" collapsed="false">
      <c r="A25" s="9" t="s">
        <v>111</v>
      </c>
      <c r="B25" s="9" t="s">
        <v>112</v>
      </c>
      <c r="C25" s="9" t="s">
        <v>103</v>
      </c>
      <c r="D25" s="9" t="s">
        <v>65</v>
      </c>
      <c r="E25" s="9"/>
    </row>
    <row r="26" customFormat="false" ht="15" hidden="false" customHeight="false" outlineLevel="0" collapsed="false">
      <c r="A26" s="9" t="s">
        <v>113</v>
      </c>
      <c r="B26" s="9" t="s">
        <v>114</v>
      </c>
      <c r="C26" s="9" t="s">
        <v>96</v>
      </c>
      <c r="D26" s="9" t="s">
        <v>65</v>
      </c>
      <c r="E26" s="9"/>
    </row>
    <row r="27" customFormat="false" ht="15" hidden="false" customHeight="false" outlineLevel="0" collapsed="false">
      <c r="A27" s="9" t="s">
        <v>115</v>
      </c>
      <c r="B27" s="9" t="s">
        <v>116</v>
      </c>
      <c r="C27" s="9" t="s">
        <v>103</v>
      </c>
      <c r="D27" s="9" t="s">
        <v>65</v>
      </c>
      <c r="E27" s="9"/>
    </row>
    <row r="28" customFormat="false" ht="15" hidden="false" customHeight="false" outlineLevel="0" collapsed="false">
      <c r="A28" s="9" t="s">
        <v>117</v>
      </c>
      <c r="B28" s="9" t="s">
        <v>118</v>
      </c>
      <c r="C28" s="9" t="s">
        <v>119</v>
      </c>
      <c r="D28" s="9" t="s">
        <v>65</v>
      </c>
      <c r="E28" s="9"/>
    </row>
    <row r="29" customFormat="false" ht="23.85" hidden="false" customHeight="false" outlineLevel="0" collapsed="false">
      <c r="A29" s="8" t="s">
        <v>120</v>
      </c>
      <c r="B29" s="8"/>
      <c r="C29" s="8"/>
      <c r="D29" s="8"/>
      <c r="E29" s="8"/>
    </row>
    <row r="30" customFormat="false" ht="15" hidden="false" customHeight="false" outlineLevel="0" collapsed="false">
      <c r="A30" s="9" t="s">
        <v>121</v>
      </c>
      <c r="B30" s="9" t="s">
        <v>122</v>
      </c>
      <c r="C30" s="9" t="s">
        <v>103</v>
      </c>
      <c r="D30" s="9" t="s">
        <v>65</v>
      </c>
      <c r="E30" s="9"/>
    </row>
    <row r="31" customFormat="false" ht="15" hidden="false" customHeight="false" outlineLevel="0" collapsed="false">
      <c r="A31" s="9" t="s">
        <v>123</v>
      </c>
      <c r="B31" s="9" t="s">
        <v>124</v>
      </c>
      <c r="C31" s="9" t="s">
        <v>103</v>
      </c>
      <c r="D31" s="9" t="s">
        <v>65</v>
      </c>
      <c r="E31" s="9"/>
    </row>
    <row r="32" customFormat="false" ht="15" hidden="false" customHeight="false" outlineLevel="0" collapsed="false">
      <c r="A32" s="9" t="s">
        <v>125</v>
      </c>
      <c r="B32" s="9" t="s">
        <v>126</v>
      </c>
      <c r="C32" s="9" t="s">
        <v>127</v>
      </c>
      <c r="D32" s="9" t="s">
        <v>65</v>
      </c>
      <c r="E32" s="9"/>
    </row>
    <row r="33" customFormat="false" ht="15" hidden="false" customHeight="false" outlineLevel="0" collapsed="false">
      <c r="A33" s="9" t="s">
        <v>128</v>
      </c>
      <c r="B33" s="9" t="s">
        <v>129</v>
      </c>
      <c r="C33" s="9" t="s">
        <v>130</v>
      </c>
      <c r="D33" s="9" t="s">
        <v>65</v>
      </c>
      <c r="E33" s="9"/>
    </row>
    <row r="34" customFormat="false" ht="23.85" hidden="false" customHeight="false" outlineLevel="0" collapsed="false">
      <c r="A34" s="9" t="s">
        <v>131</v>
      </c>
      <c r="B34" s="9" t="s">
        <v>132</v>
      </c>
      <c r="C34" s="9" t="s">
        <v>133</v>
      </c>
      <c r="D34" s="9" t="s">
        <v>65</v>
      </c>
      <c r="E34" s="9"/>
    </row>
    <row r="35" customFormat="false" ht="15" hidden="false" customHeight="false" outlineLevel="0" collapsed="false">
      <c r="A35" s="9" t="s">
        <v>134</v>
      </c>
      <c r="B35" s="9" t="s">
        <v>135</v>
      </c>
      <c r="C35" s="9" t="s">
        <v>136</v>
      </c>
      <c r="D35" s="9" t="s">
        <v>65</v>
      </c>
      <c r="E35" s="9"/>
    </row>
    <row r="36" customFormat="false" ht="15" hidden="false" customHeight="false" outlineLevel="0" collapsed="false">
      <c r="A36" s="9" t="s">
        <v>137</v>
      </c>
      <c r="B36" s="9" t="s">
        <v>138</v>
      </c>
      <c r="C36" s="9" t="s">
        <v>103</v>
      </c>
      <c r="D36" s="9" t="s">
        <v>65</v>
      </c>
      <c r="E36" s="9"/>
    </row>
    <row r="37" customFormat="false" ht="15" hidden="false" customHeight="false" outlineLevel="0" collapsed="false">
      <c r="A37" s="9" t="s">
        <v>139</v>
      </c>
      <c r="B37" s="9" t="s">
        <v>140</v>
      </c>
      <c r="C37" s="9" t="s">
        <v>141</v>
      </c>
      <c r="D37" s="9" t="s">
        <v>65</v>
      </c>
      <c r="E37" s="9"/>
    </row>
    <row r="38" customFormat="false" ht="15" hidden="false" customHeight="false" outlineLevel="0" collapsed="false">
      <c r="A38" s="9" t="s">
        <v>142</v>
      </c>
      <c r="B38" s="9" t="s">
        <v>143</v>
      </c>
      <c r="C38" s="9" t="s">
        <v>144</v>
      </c>
      <c r="D38" s="9" t="s">
        <v>65</v>
      </c>
      <c r="E38" s="9"/>
    </row>
    <row r="39" customFormat="false" ht="23.85" hidden="false" customHeight="false" outlineLevel="0" collapsed="false">
      <c r="A39" s="8" t="s">
        <v>145</v>
      </c>
      <c r="B39" s="8"/>
      <c r="C39" s="8"/>
      <c r="D39" s="8"/>
      <c r="E39" s="8"/>
    </row>
    <row r="40" customFormat="false" ht="15" hidden="false" customHeight="false" outlineLevel="0" collapsed="false">
      <c r="A40" s="9" t="s">
        <v>146</v>
      </c>
      <c r="B40" s="9" t="s">
        <v>147</v>
      </c>
      <c r="C40" s="9" t="s">
        <v>148</v>
      </c>
      <c r="D40" s="9" t="s">
        <v>149</v>
      </c>
      <c r="E40" s="9"/>
    </row>
    <row r="41" customFormat="false" ht="15" hidden="false" customHeight="false" outlineLevel="0" collapsed="false">
      <c r="A41" s="9" t="s">
        <v>150</v>
      </c>
      <c r="B41" s="9" t="s">
        <v>151</v>
      </c>
      <c r="C41" s="9" t="s">
        <v>152</v>
      </c>
      <c r="D41" s="9" t="s">
        <v>153</v>
      </c>
      <c r="E41" s="9"/>
    </row>
    <row r="42" customFormat="false" ht="15" hidden="false" customHeight="false" outlineLevel="0" collapsed="false">
      <c r="A42" s="9" t="s">
        <v>154</v>
      </c>
      <c r="B42" s="9" t="s">
        <v>155</v>
      </c>
      <c r="C42" s="9" t="s">
        <v>156</v>
      </c>
      <c r="D42" s="9" t="s">
        <v>157</v>
      </c>
      <c r="E42" s="9"/>
    </row>
    <row r="43" customFormat="false" ht="15" hidden="false" customHeight="false" outlineLevel="0" collapsed="false">
      <c r="A43" s="9" t="s">
        <v>158</v>
      </c>
      <c r="B43" s="9" t="s">
        <v>159</v>
      </c>
      <c r="C43" s="9" t="s">
        <v>160</v>
      </c>
      <c r="D43" s="9" t="s">
        <v>65</v>
      </c>
      <c r="E43" s="9"/>
    </row>
    <row r="44" customFormat="false" ht="57.45" hidden="false" customHeight="false" outlineLevel="0" collapsed="false">
      <c r="A44" s="8" t="s">
        <v>161</v>
      </c>
      <c r="B44" s="8"/>
      <c r="C44" s="8"/>
      <c r="D44" s="8"/>
      <c r="E44" s="8"/>
    </row>
    <row r="45" customFormat="false" ht="15" hidden="false" customHeight="false" outlineLevel="0" collapsed="false">
      <c r="A45" s="9" t="s">
        <v>162</v>
      </c>
      <c r="B45" s="9" t="s">
        <v>163</v>
      </c>
      <c r="C45" s="9" t="s">
        <v>164</v>
      </c>
      <c r="D45" s="9" t="s">
        <v>65</v>
      </c>
      <c r="E45" s="9"/>
    </row>
    <row r="46" customFormat="false" ht="23.85" hidden="false" customHeight="false" outlineLevel="0" collapsed="false">
      <c r="A46" s="9" t="s">
        <v>165</v>
      </c>
      <c r="B46" s="9" t="s">
        <v>166</v>
      </c>
      <c r="C46" s="9" t="s">
        <v>167</v>
      </c>
      <c r="D46" s="9" t="s">
        <v>168</v>
      </c>
      <c r="E46" s="9"/>
    </row>
    <row r="47" customFormat="false" ht="15" hidden="false" customHeight="false" outlineLevel="0" collapsed="false">
      <c r="A47" s="9" t="s">
        <v>169</v>
      </c>
      <c r="B47" s="9" t="s">
        <v>170</v>
      </c>
      <c r="C47" s="9" t="s">
        <v>171</v>
      </c>
      <c r="D47" s="9" t="s">
        <v>172</v>
      </c>
      <c r="E47" s="9"/>
    </row>
    <row r="48" customFormat="false" ht="79.85" hidden="false" customHeight="false" outlineLevel="0" collapsed="false">
      <c r="A48" s="8" t="s">
        <v>173</v>
      </c>
      <c r="B48" s="8"/>
      <c r="C48" s="8"/>
      <c r="D48" s="8"/>
      <c r="E48" s="8"/>
    </row>
    <row r="49" customFormat="false" ht="15" hidden="false" customHeight="false" outlineLevel="0" collapsed="false">
      <c r="A49" s="9" t="s">
        <v>174</v>
      </c>
      <c r="B49" s="9" t="s">
        <v>175</v>
      </c>
      <c r="C49" s="9" t="s">
        <v>176</v>
      </c>
      <c r="D49" s="9" t="s">
        <v>177</v>
      </c>
      <c r="E49" s="9"/>
    </row>
    <row r="50" customFormat="false" ht="23.85" hidden="false" customHeight="false" outlineLevel="0" collapsed="false">
      <c r="A50" s="9" t="s">
        <v>178</v>
      </c>
      <c r="B50" s="9" t="s">
        <v>179</v>
      </c>
      <c r="C50" s="9" t="s">
        <v>180</v>
      </c>
      <c r="D50" s="9" t="s">
        <v>181</v>
      </c>
      <c r="E50" s="9"/>
    </row>
    <row r="51" customFormat="false" ht="15" hidden="false" customHeight="false" outlineLevel="0" collapsed="false">
      <c r="A51" s="9" t="s">
        <v>182</v>
      </c>
      <c r="B51" s="9" t="s">
        <v>183</v>
      </c>
      <c r="C51" s="9" t="s">
        <v>180</v>
      </c>
      <c r="D51" s="9" t="s">
        <v>184</v>
      </c>
      <c r="E51" s="9"/>
    </row>
    <row r="52" customFormat="false" ht="15" hidden="false" customHeight="false" outlineLevel="0" collapsed="false">
      <c r="A52" s="9" t="s">
        <v>185</v>
      </c>
      <c r="B52" s="9" t="s">
        <v>186</v>
      </c>
      <c r="C52" s="9" t="s">
        <v>187</v>
      </c>
      <c r="D52" s="9" t="s">
        <v>188</v>
      </c>
      <c r="E52" s="9"/>
    </row>
    <row r="53" customFormat="false" ht="15" hidden="false" customHeight="false" outlineLevel="0" collapsed="false">
      <c r="A53" s="9" t="s">
        <v>189</v>
      </c>
      <c r="B53" s="9" t="s">
        <v>190</v>
      </c>
      <c r="C53" s="9" t="s">
        <v>191</v>
      </c>
      <c r="D53" s="9" t="s">
        <v>192</v>
      </c>
      <c r="E53" s="9"/>
    </row>
    <row r="54" customFormat="false" ht="15" hidden="false" customHeight="false" outlineLevel="0" collapsed="false">
      <c r="A54" s="9" t="s">
        <v>193</v>
      </c>
      <c r="B54" s="9" t="s">
        <v>194</v>
      </c>
      <c r="C54" s="9" t="s">
        <v>195</v>
      </c>
      <c r="D54" s="9" t="s">
        <v>196</v>
      </c>
      <c r="E54" s="9"/>
    </row>
    <row r="55" customFormat="false" ht="23.85" hidden="false" customHeight="false" outlineLevel="0" collapsed="false">
      <c r="A55" s="9" t="s">
        <v>197</v>
      </c>
      <c r="B55" s="9" t="s">
        <v>198</v>
      </c>
      <c r="C55" s="9" t="s">
        <v>176</v>
      </c>
      <c r="D55" s="9" t="s">
        <v>199</v>
      </c>
      <c r="E55" s="9"/>
    </row>
    <row r="56" customFormat="false" ht="15" hidden="false" customHeight="false" outlineLevel="0" collapsed="false">
      <c r="A56" s="9" t="s">
        <v>200</v>
      </c>
      <c r="B56" s="9" t="s">
        <v>201</v>
      </c>
      <c r="C56" s="9" t="s">
        <v>202</v>
      </c>
      <c r="D56" s="9" t="s">
        <v>203</v>
      </c>
      <c r="E56" s="9"/>
    </row>
    <row r="57" customFormat="false" ht="46.25" hidden="false" customHeight="false" outlineLevel="0" collapsed="false">
      <c r="A57" s="8" t="s">
        <v>204</v>
      </c>
      <c r="B57" s="8"/>
      <c r="C57" s="8"/>
      <c r="D57" s="8"/>
      <c r="E57" s="8"/>
    </row>
    <row r="58" customFormat="false" ht="23.85" hidden="false" customHeight="false" outlineLevel="0" collapsed="false">
      <c r="A58" s="9" t="s">
        <v>205</v>
      </c>
      <c r="B58" s="9" t="s">
        <v>206</v>
      </c>
      <c r="C58" s="9" t="s">
        <v>207</v>
      </c>
      <c r="D58" s="9" t="s">
        <v>208</v>
      </c>
      <c r="E58" s="9"/>
    </row>
    <row r="59" customFormat="false" ht="15" hidden="false" customHeight="false" outlineLevel="0" collapsed="false">
      <c r="A59" s="9" t="s">
        <v>209</v>
      </c>
      <c r="B59" s="9" t="s">
        <v>210</v>
      </c>
      <c r="C59" s="9" t="s">
        <v>191</v>
      </c>
      <c r="D59" s="9" t="s">
        <v>211</v>
      </c>
      <c r="E59" s="9"/>
    </row>
    <row r="60" customFormat="false" ht="15" hidden="false" customHeight="false" outlineLevel="0" collapsed="false">
      <c r="A60" s="9" t="s">
        <v>212</v>
      </c>
      <c r="B60" s="9" t="s">
        <v>213</v>
      </c>
      <c r="C60" s="9" t="s">
        <v>214</v>
      </c>
      <c r="D60" s="9" t="s">
        <v>215</v>
      </c>
      <c r="E60" s="9"/>
    </row>
    <row r="61" customFormat="false" ht="23.85" hidden="false" customHeight="false" outlineLevel="0" collapsed="false">
      <c r="A61" s="9" t="s">
        <v>216</v>
      </c>
      <c r="B61" s="9" t="s">
        <v>217</v>
      </c>
      <c r="C61" s="9" t="s">
        <v>187</v>
      </c>
      <c r="D61" s="9" t="s">
        <v>218</v>
      </c>
      <c r="E61" s="9"/>
    </row>
    <row r="62" customFormat="false" ht="23.85" hidden="false" customHeight="false" outlineLevel="0" collapsed="false">
      <c r="A62" s="9" t="s">
        <v>219</v>
      </c>
      <c r="B62" s="9" t="s">
        <v>220</v>
      </c>
      <c r="C62" s="9" t="s">
        <v>221</v>
      </c>
      <c r="D62" s="9" t="s">
        <v>222</v>
      </c>
      <c r="E62" s="9"/>
    </row>
    <row r="63" customFormat="false" ht="23.85" hidden="false" customHeight="false" outlineLevel="0" collapsed="false">
      <c r="A63" s="9" t="s">
        <v>223</v>
      </c>
      <c r="B63" s="9" t="s">
        <v>224</v>
      </c>
      <c r="C63" s="9" t="s">
        <v>187</v>
      </c>
      <c r="D63" s="9" t="s">
        <v>225</v>
      </c>
      <c r="E63" s="9"/>
    </row>
    <row r="64" customFormat="false" ht="15" hidden="false" customHeight="false" outlineLevel="0" collapsed="false">
      <c r="A64" s="9" t="s">
        <v>226</v>
      </c>
      <c r="B64" s="9" t="s">
        <v>227</v>
      </c>
      <c r="C64" s="9" t="s">
        <v>228</v>
      </c>
      <c r="D64" s="9" t="s">
        <v>80</v>
      </c>
      <c r="E64" s="9"/>
    </row>
    <row r="65" customFormat="false" ht="79.85" hidden="false" customHeight="false" outlineLevel="0" collapsed="false">
      <c r="A65" s="8" t="s">
        <v>229</v>
      </c>
      <c r="B65" s="8"/>
      <c r="C65" s="8"/>
      <c r="D65" s="8"/>
      <c r="E65" s="8"/>
    </row>
    <row r="66" customFormat="false" ht="15" hidden="false" customHeight="false" outlineLevel="0" collapsed="false">
      <c r="A66" s="10" t="s">
        <v>230</v>
      </c>
      <c r="B66" s="10" t="s">
        <v>231</v>
      </c>
      <c r="C66" s="10" t="s">
        <v>232</v>
      </c>
      <c r="D66" s="10" t="s">
        <v>233</v>
      </c>
      <c r="E66" s="10" t="s">
        <v>234</v>
      </c>
    </row>
    <row r="67" customFormat="false" ht="15" hidden="false" customHeight="false" outlineLevel="0" collapsed="false">
      <c r="A67" s="11" t="s">
        <v>235</v>
      </c>
      <c r="B67" s="11" t="s">
        <v>236</v>
      </c>
      <c r="C67" s="11" t="s">
        <v>237</v>
      </c>
      <c r="D67" s="11" t="s">
        <v>233</v>
      </c>
      <c r="E67" s="11" t="s">
        <v>238</v>
      </c>
    </row>
    <row r="68" customFormat="false" ht="15" hidden="false" customHeight="false" outlineLevel="0" collapsed="false">
      <c r="A68" s="10" t="s">
        <v>239</v>
      </c>
      <c r="B68" s="10" t="s">
        <v>240</v>
      </c>
      <c r="C68" s="10" t="s">
        <v>241</v>
      </c>
      <c r="D68" s="10" t="s">
        <v>233</v>
      </c>
      <c r="E68" s="10" t="s">
        <v>242</v>
      </c>
    </row>
    <row r="69" customFormat="false" ht="15" hidden="false" customHeight="false" outlineLevel="0" collapsed="false">
      <c r="A69" s="10" t="s">
        <v>243</v>
      </c>
      <c r="B69" s="10" t="s">
        <v>244</v>
      </c>
      <c r="C69" s="10" t="s">
        <v>245</v>
      </c>
      <c r="D69" s="10" t="s">
        <v>65</v>
      </c>
      <c r="E69" s="10" t="s">
        <v>234</v>
      </c>
    </row>
    <row r="70" customFormat="false" ht="15" hidden="false" customHeight="false" outlineLevel="0" collapsed="false">
      <c r="A70" s="10" t="s">
        <v>246</v>
      </c>
      <c r="B70" s="10" t="s">
        <v>247</v>
      </c>
      <c r="C70" s="10" t="s">
        <v>248</v>
      </c>
      <c r="D70" s="10" t="s">
        <v>233</v>
      </c>
      <c r="E70" s="10" t="s">
        <v>234</v>
      </c>
    </row>
    <row r="71" customFormat="false" ht="15" hidden="false" customHeight="false" outlineLevel="0" collapsed="false">
      <c r="A71" s="10" t="s">
        <v>249</v>
      </c>
      <c r="B71" s="10" t="s">
        <v>250</v>
      </c>
      <c r="C71" s="10" t="s">
        <v>251</v>
      </c>
      <c r="D71" s="10" t="s">
        <v>233</v>
      </c>
      <c r="E71" s="10" t="s">
        <v>242</v>
      </c>
    </row>
    <row r="72" customFormat="false" ht="15" hidden="false" customHeight="false" outlineLevel="0" collapsed="false">
      <c r="A72" s="10" t="s">
        <v>252</v>
      </c>
      <c r="B72" s="10" t="s">
        <v>253</v>
      </c>
      <c r="C72" s="10" t="s">
        <v>254</v>
      </c>
      <c r="D72" s="10" t="s">
        <v>233</v>
      </c>
      <c r="E72" s="10" t="s">
        <v>242</v>
      </c>
    </row>
    <row r="73" customFormat="false" ht="15" hidden="false" customHeight="false" outlineLevel="0" collapsed="false">
      <c r="A73" s="10" t="s">
        <v>255</v>
      </c>
      <c r="B73" s="10" t="s">
        <v>256</v>
      </c>
      <c r="C73" s="10" t="s">
        <v>251</v>
      </c>
      <c r="D73" s="10" t="s">
        <v>233</v>
      </c>
      <c r="E73" s="10" t="s">
        <v>242</v>
      </c>
    </row>
    <row r="74" customFormat="false" ht="15" hidden="false" customHeight="false" outlineLevel="0" collapsed="false">
      <c r="A74" s="10" t="s">
        <v>257</v>
      </c>
      <c r="B74" s="10" t="s">
        <v>258</v>
      </c>
      <c r="C74" s="10" t="s">
        <v>259</v>
      </c>
      <c r="D74" s="10" t="s">
        <v>233</v>
      </c>
      <c r="E74" s="10" t="s">
        <v>242</v>
      </c>
    </row>
    <row r="75" customFormat="false" ht="15" hidden="false" customHeight="false" outlineLevel="0" collapsed="false">
      <c r="A75" s="10" t="s">
        <v>260</v>
      </c>
      <c r="B75" s="10" t="s">
        <v>261</v>
      </c>
      <c r="C75" s="10" t="s">
        <v>251</v>
      </c>
      <c r="D75" s="10" t="s">
        <v>233</v>
      </c>
      <c r="E75" s="10" t="s">
        <v>242</v>
      </c>
    </row>
    <row r="76" customFormat="false" ht="15" hidden="false" customHeight="false" outlineLevel="0" collapsed="false">
      <c r="A76" s="10" t="s">
        <v>262</v>
      </c>
      <c r="B76" s="10" t="s">
        <v>263</v>
      </c>
      <c r="C76" s="10" t="s">
        <v>264</v>
      </c>
      <c r="D76" s="10" t="s">
        <v>233</v>
      </c>
      <c r="E76" s="10" t="s">
        <v>234</v>
      </c>
    </row>
    <row r="77" customFormat="false" ht="15" hidden="false" customHeight="false" outlineLevel="0" collapsed="false">
      <c r="A77" s="11" t="s">
        <v>265</v>
      </c>
      <c r="B77" s="11" t="s">
        <v>266</v>
      </c>
      <c r="C77" s="11" t="s">
        <v>267</v>
      </c>
      <c r="D77" s="11" t="s">
        <v>233</v>
      </c>
      <c r="E77" s="11" t="s">
        <v>238</v>
      </c>
    </row>
    <row r="78" customFormat="false" ht="15" hidden="false" customHeight="false" outlineLevel="0" collapsed="false">
      <c r="A78" s="10" t="s">
        <v>268</v>
      </c>
      <c r="B78" s="10" t="s">
        <v>269</v>
      </c>
      <c r="C78" s="10" t="s">
        <v>270</v>
      </c>
      <c r="D78" s="10" t="s">
        <v>233</v>
      </c>
      <c r="E78" s="10" t="s">
        <v>242</v>
      </c>
    </row>
    <row r="79" customFormat="false" ht="15" hidden="false" customHeight="false" outlineLevel="0" collapsed="false">
      <c r="A79" s="10" t="s">
        <v>271</v>
      </c>
      <c r="B79" s="10" t="s">
        <v>272</v>
      </c>
      <c r="C79" s="10" t="s">
        <v>273</v>
      </c>
      <c r="D79" s="10" t="s">
        <v>233</v>
      </c>
      <c r="E79" s="10" t="s">
        <v>242</v>
      </c>
    </row>
    <row r="80" customFormat="false" ht="15" hidden="false" customHeight="false" outlineLevel="0" collapsed="false">
      <c r="A80" s="10" t="s">
        <v>274</v>
      </c>
      <c r="B80" s="10" t="s">
        <v>275</v>
      </c>
      <c r="C80" s="10" t="s">
        <v>259</v>
      </c>
      <c r="D80" s="10" t="s">
        <v>233</v>
      </c>
      <c r="E80" s="10" t="s">
        <v>242</v>
      </c>
    </row>
    <row r="81" customFormat="false" ht="15" hidden="false" customHeight="false" outlineLevel="0" collapsed="false">
      <c r="A81" s="10" t="s">
        <v>276</v>
      </c>
      <c r="B81" s="10" t="s">
        <v>277</v>
      </c>
      <c r="C81" s="10" t="s">
        <v>278</v>
      </c>
      <c r="D81" s="10" t="s">
        <v>233</v>
      </c>
      <c r="E81" s="10" t="s">
        <v>242</v>
      </c>
    </row>
    <row r="82" customFormat="false" ht="15" hidden="false" customHeight="false" outlineLevel="0" collapsed="false">
      <c r="A82" s="9" t="s">
        <v>279</v>
      </c>
      <c r="B82" s="9" t="s">
        <v>280</v>
      </c>
      <c r="C82" s="9" t="s">
        <v>281</v>
      </c>
      <c r="D82" s="9" t="s">
        <v>167</v>
      </c>
      <c r="E82" s="9"/>
    </row>
  </sheetData>
  <autoFilter ref="A4:E8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18"/>
    <col collapsed="false" customWidth="true" hidden="false" outlineLevel="0" max="4" min="4" style="0" width="34"/>
    <col collapsed="false" customWidth="true" hidden="false" outlineLevel="0" max="5" min="5" style="0" width="22"/>
    <col collapsed="false" customWidth="true" hidden="false" outlineLevel="0" max="6" min="6" style="0" width="45"/>
    <col collapsed="false" customWidth="true" hidden="false" outlineLevel="0" max="8" min="7" style="0" width="32"/>
    <col collapsed="false" customWidth="true" hidden="false" outlineLevel="0" max="9" min="9" style="0" width="45"/>
    <col collapsed="false" customWidth="true" hidden="false" outlineLevel="0" max="10" min="10" style="0" width="32"/>
    <col collapsed="false" customWidth="true" hidden="false" outlineLevel="0" max="11" min="11" style="0" width="14"/>
    <col collapsed="false" customWidth="true" hidden="false" outlineLevel="0" max="12" min="12" style="0" width="40"/>
    <col collapsed="false" customWidth="true" hidden="false" outlineLevel="0" max="13" min="13" style="0" width="26"/>
    <col collapsed="false" customWidth="true" hidden="false" outlineLevel="0" max="14" min="14" style="0" width="45"/>
  </cols>
  <sheetData>
    <row r="1" customFormat="false" ht="17.35" hidden="false" customHeight="false" outlineLevel="0" collapsed="false">
      <c r="A1" s="1" t="s">
        <v>282</v>
      </c>
    </row>
    <row r="2" customFormat="false" ht="15" hidden="false" customHeight="false" outlineLevel="0" collapsed="false">
      <c r="A2" s="2" t="s">
        <v>283</v>
      </c>
    </row>
    <row r="4" customFormat="false" ht="23.85" hidden="false" customHeight="false" outlineLevel="0" collapsed="false">
      <c r="A4" s="7" t="s">
        <v>48</v>
      </c>
      <c r="B4" s="7" t="s">
        <v>284</v>
      </c>
      <c r="C4" s="7" t="s">
        <v>285</v>
      </c>
      <c r="D4" s="7" t="s">
        <v>286</v>
      </c>
      <c r="E4" s="7" t="s">
        <v>287</v>
      </c>
      <c r="F4" s="7" t="s">
        <v>288</v>
      </c>
      <c r="G4" s="7" t="s">
        <v>289</v>
      </c>
      <c r="H4" s="7" t="s">
        <v>290</v>
      </c>
      <c r="I4" s="7" t="s">
        <v>291</v>
      </c>
      <c r="J4" s="7" t="s">
        <v>51</v>
      </c>
      <c r="K4" s="7" t="s">
        <v>292</v>
      </c>
      <c r="L4" s="7" t="s">
        <v>293</v>
      </c>
      <c r="M4" s="7" t="s">
        <v>294</v>
      </c>
      <c r="N4" s="7" t="s">
        <v>295</v>
      </c>
    </row>
    <row r="5" customFormat="false" ht="57.45" hidden="false" customHeight="false" outlineLevel="0" collapsed="false">
      <c r="A5" s="9" t="s">
        <v>54</v>
      </c>
      <c r="B5" s="9" t="s">
        <v>296</v>
      </c>
      <c r="C5" s="9" t="s">
        <v>297</v>
      </c>
      <c r="D5" s="9" t="s">
        <v>298</v>
      </c>
      <c r="E5" s="9"/>
      <c r="F5" s="9" t="s">
        <v>299</v>
      </c>
      <c r="G5" s="9" t="s">
        <v>300</v>
      </c>
      <c r="H5" s="9" t="s">
        <v>301</v>
      </c>
      <c r="I5" s="9" t="s">
        <v>302</v>
      </c>
      <c r="J5" s="9" t="s">
        <v>303</v>
      </c>
      <c r="K5" s="9" t="s">
        <v>304</v>
      </c>
      <c r="L5" s="9" t="s">
        <v>305</v>
      </c>
      <c r="M5" s="9" t="s">
        <v>306</v>
      </c>
      <c r="N5" s="9"/>
    </row>
    <row r="6" customFormat="false" ht="35.05" hidden="false" customHeight="false" outlineLevel="0" collapsed="false">
      <c r="A6" s="9" t="s">
        <v>58</v>
      </c>
      <c r="B6" s="9" t="s">
        <v>296</v>
      </c>
      <c r="C6" s="9" t="s">
        <v>297</v>
      </c>
      <c r="D6" s="9" t="s">
        <v>307</v>
      </c>
      <c r="E6" s="9"/>
      <c r="F6" s="9" t="s">
        <v>308</v>
      </c>
      <c r="G6" s="9" t="s">
        <v>309</v>
      </c>
      <c r="H6" s="9" t="s">
        <v>310</v>
      </c>
      <c r="I6" s="9" t="s">
        <v>311</v>
      </c>
      <c r="J6" s="9" t="s">
        <v>312</v>
      </c>
      <c r="K6" s="9" t="s">
        <v>313</v>
      </c>
      <c r="L6" s="9" t="s">
        <v>314</v>
      </c>
      <c r="M6" s="9" t="s">
        <v>315</v>
      </c>
      <c r="N6" s="9"/>
    </row>
    <row r="7" customFormat="false" ht="35.05" hidden="false" customHeight="false" outlineLevel="0" collapsed="false">
      <c r="A7" s="9" t="s">
        <v>62</v>
      </c>
      <c r="B7" s="9" t="s">
        <v>296</v>
      </c>
      <c r="C7" s="9" t="s">
        <v>297</v>
      </c>
      <c r="D7" s="9" t="s">
        <v>316</v>
      </c>
      <c r="E7" s="9"/>
      <c r="F7" s="9" t="s">
        <v>317</v>
      </c>
      <c r="G7" s="9" t="s">
        <v>318</v>
      </c>
      <c r="H7" s="9" t="s">
        <v>319</v>
      </c>
      <c r="I7" s="9" t="s">
        <v>320</v>
      </c>
      <c r="J7" s="9" t="s">
        <v>321</v>
      </c>
      <c r="K7" s="9" t="s">
        <v>322</v>
      </c>
      <c r="L7" s="9" t="s">
        <v>323</v>
      </c>
      <c r="M7" s="9" t="s">
        <v>324</v>
      </c>
      <c r="N7" s="9"/>
    </row>
    <row r="8" customFormat="false" ht="35.05" hidden="false" customHeight="false" outlineLevel="0" collapsed="false">
      <c r="A8" s="9" t="s">
        <v>66</v>
      </c>
      <c r="B8" s="9" t="s">
        <v>296</v>
      </c>
      <c r="C8" s="9" t="s">
        <v>297</v>
      </c>
      <c r="D8" s="9" t="s">
        <v>325</v>
      </c>
      <c r="E8" s="9"/>
      <c r="F8" s="9" t="s">
        <v>326</v>
      </c>
      <c r="G8" s="9" t="s">
        <v>327</v>
      </c>
      <c r="H8" s="9" t="s">
        <v>328</v>
      </c>
      <c r="I8" s="9" t="s">
        <v>329</v>
      </c>
      <c r="J8" s="9" t="s">
        <v>321</v>
      </c>
      <c r="K8" s="9" t="s">
        <v>330</v>
      </c>
      <c r="L8" s="9" t="s">
        <v>331</v>
      </c>
      <c r="M8" s="9" t="s">
        <v>332</v>
      </c>
      <c r="N8" s="9"/>
    </row>
    <row r="9" customFormat="false" ht="35.05" hidden="false" customHeight="false" outlineLevel="0" collapsed="false">
      <c r="A9" s="9" t="s">
        <v>69</v>
      </c>
      <c r="B9" s="9" t="s">
        <v>296</v>
      </c>
      <c r="C9" s="9" t="s">
        <v>297</v>
      </c>
      <c r="D9" s="9" t="s">
        <v>333</v>
      </c>
      <c r="E9" s="9"/>
      <c r="F9" s="9" t="s">
        <v>334</v>
      </c>
      <c r="G9" s="9" t="s">
        <v>335</v>
      </c>
      <c r="H9" s="9" t="s">
        <v>336</v>
      </c>
      <c r="I9" s="9" t="s">
        <v>337</v>
      </c>
      <c r="J9" s="9" t="s">
        <v>338</v>
      </c>
      <c r="K9" s="9" t="s">
        <v>339</v>
      </c>
      <c r="L9" s="9" t="s">
        <v>340</v>
      </c>
      <c r="M9" s="9" t="s">
        <v>341</v>
      </c>
      <c r="N9" s="9"/>
    </row>
    <row r="10" customFormat="false" ht="35.05" hidden="false" customHeight="false" outlineLevel="0" collapsed="false">
      <c r="A10" s="9" t="s">
        <v>72</v>
      </c>
      <c r="B10" s="9" t="s">
        <v>296</v>
      </c>
      <c r="C10" s="9" t="s">
        <v>297</v>
      </c>
      <c r="D10" s="9" t="s">
        <v>73</v>
      </c>
      <c r="E10" s="9"/>
      <c r="F10" s="9" t="s">
        <v>342</v>
      </c>
      <c r="G10" s="9" t="s">
        <v>343</v>
      </c>
      <c r="H10" s="9" t="s">
        <v>344</v>
      </c>
      <c r="I10" s="9" t="s">
        <v>345</v>
      </c>
      <c r="J10" s="9" t="s">
        <v>346</v>
      </c>
      <c r="K10" s="9" t="s">
        <v>322</v>
      </c>
      <c r="L10" s="9" t="s">
        <v>347</v>
      </c>
      <c r="M10" s="9" t="s">
        <v>348</v>
      </c>
      <c r="N10" s="9"/>
    </row>
    <row r="11" customFormat="false" ht="57.45" hidden="false" customHeight="false" outlineLevel="0" collapsed="false">
      <c r="A11" s="9" t="s">
        <v>75</v>
      </c>
      <c r="B11" s="9" t="s">
        <v>296</v>
      </c>
      <c r="C11" s="9" t="s">
        <v>297</v>
      </c>
      <c r="D11" s="9" t="s">
        <v>76</v>
      </c>
      <c r="E11" s="9"/>
      <c r="F11" s="9" t="s">
        <v>349</v>
      </c>
      <c r="G11" s="9" t="s">
        <v>350</v>
      </c>
      <c r="H11" s="9" t="s">
        <v>351</v>
      </c>
      <c r="I11" s="9" t="s">
        <v>352</v>
      </c>
      <c r="J11" s="9" t="s">
        <v>321</v>
      </c>
      <c r="K11" s="9" t="s">
        <v>353</v>
      </c>
      <c r="L11" s="9" t="s">
        <v>354</v>
      </c>
      <c r="M11" s="9" t="s">
        <v>355</v>
      </c>
      <c r="N11" s="9"/>
    </row>
    <row r="12" customFormat="false" ht="35.05" hidden="false" customHeight="false" outlineLevel="0" collapsed="false">
      <c r="A12" s="9" t="s">
        <v>78</v>
      </c>
      <c r="B12" s="9" t="s">
        <v>296</v>
      </c>
      <c r="C12" s="9" t="s">
        <v>297</v>
      </c>
      <c r="D12" s="9" t="s">
        <v>356</v>
      </c>
      <c r="E12" s="9"/>
      <c r="F12" s="9" t="s">
        <v>357</v>
      </c>
      <c r="G12" s="9"/>
      <c r="H12" s="9"/>
      <c r="I12" s="9" t="s">
        <v>358</v>
      </c>
      <c r="J12" s="9" t="s">
        <v>359</v>
      </c>
      <c r="K12" s="9" t="s">
        <v>360</v>
      </c>
      <c r="L12" s="9" t="s">
        <v>361</v>
      </c>
      <c r="M12" s="9" t="s">
        <v>362</v>
      </c>
      <c r="N12" s="9"/>
    </row>
    <row r="13" customFormat="false" ht="57.45" hidden="false" customHeight="false" outlineLevel="0" collapsed="false">
      <c r="A13" s="9" t="s">
        <v>82</v>
      </c>
      <c r="B13" s="9" t="s">
        <v>81</v>
      </c>
      <c r="C13" s="9" t="s">
        <v>297</v>
      </c>
      <c r="D13" s="9" t="s">
        <v>363</v>
      </c>
      <c r="E13" s="9"/>
      <c r="F13" s="9" t="s">
        <v>364</v>
      </c>
      <c r="G13" s="9" t="s">
        <v>365</v>
      </c>
      <c r="H13" s="9" t="s">
        <v>366</v>
      </c>
      <c r="I13" s="9" t="s">
        <v>367</v>
      </c>
      <c r="J13" s="9" t="s">
        <v>368</v>
      </c>
      <c r="K13" s="9" t="s">
        <v>369</v>
      </c>
      <c r="L13" s="9" t="s">
        <v>370</v>
      </c>
      <c r="M13" s="9" t="s">
        <v>371</v>
      </c>
      <c r="N13" s="9"/>
    </row>
    <row r="14" customFormat="false" ht="23.85" hidden="false" customHeight="false" outlineLevel="0" collapsed="false">
      <c r="A14" s="9" t="s">
        <v>85</v>
      </c>
      <c r="B14" s="9" t="s">
        <v>81</v>
      </c>
      <c r="C14" s="9" t="s">
        <v>297</v>
      </c>
      <c r="D14" s="9" t="s">
        <v>372</v>
      </c>
      <c r="E14" s="9"/>
      <c r="F14" s="9" t="s">
        <v>373</v>
      </c>
      <c r="G14" s="9" t="s">
        <v>374</v>
      </c>
      <c r="H14" s="9" t="s">
        <v>375</v>
      </c>
      <c r="I14" s="9" t="s">
        <v>376</v>
      </c>
      <c r="J14" s="9" t="s">
        <v>377</v>
      </c>
      <c r="K14" s="9"/>
      <c r="L14" s="9" t="s">
        <v>378</v>
      </c>
      <c r="M14" s="9" t="s">
        <v>379</v>
      </c>
      <c r="N14" s="9"/>
    </row>
    <row r="15" customFormat="false" ht="46.25" hidden="false" customHeight="false" outlineLevel="0" collapsed="false">
      <c r="A15" s="9" t="s">
        <v>88</v>
      </c>
      <c r="B15" s="9" t="s">
        <v>81</v>
      </c>
      <c r="C15" s="9" t="s">
        <v>297</v>
      </c>
      <c r="D15" s="9" t="s">
        <v>380</v>
      </c>
      <c r="E15" s="9"/>
      <c r="F15" s="9" t="s">
        <v>381</v>
      </c>
      <c r="G15" s="9"/>
      <c r="H15" s="9" t="s">
        <v>382</v>
      </c>
      <c r="I15" s="9" t="s">
        <v>383</v>
      </c>
      <c r="J15" s="9" t="s">
        <v>384</v>
      </c>
      <c r="K15" s="9"/>
      <c r="L15" s="9" t="s">
        <v>385</v>
      </c>
      <c r="M15" s="9" t="s">
        <v>386</v>
      </c>
      <c r="N15" s="9"/>
    </row>
    <row r="16" customFormat="false" ht="35.05" hidden="false" customHeight="false" outlineLevel="0" collapsed="false">
      <c r="A16" s="9" t="s">
        <v>91</v>
      </c>
      <c r="B16" s="9" t="s">
        <v>81</v>
      </c>
      <c r="C16" s="9" t="s">
        <v>297</v>
      </c>
      <c r="D16" s="9" t="s">
        <v>92</v>
      </c>
      <c r="E16" s="9"/>
      <c r="F16" s="9" t="s">
        <v>387</v>
      </c>
      <c r="G16" s="9" t="s">
        <v>388</v>
      </c>
      <c r="H16" s="9" t="s">
        <v>389</v>
      </c>
      <c r="I16" s="9" t="s">
        <v>390</v>
      </c>
      <c r="J16" s="9" t="s">
        <v>391</v>
      </c>
      <c r="K16" s="9" t="s">
        <v>392</v>
      </c>
      <c r="L16" s="9" t="s">
        <v>393</v>
      </c>
      <c r="M16" s="9" t="s">
        <v>394</v>
      </c>
      <c r="N16" s="9"/>
    </row>
    <row r="17" customFormat="false" ht="35.05" hidden="false" customHeight="false" outlineLevel="0" collapsed="false">
      <c r="A17" s="9" t="s">
        <v>94</v>
      </c>
      <c r="B17" s="9" t="s">
        <v>81</v>
      </c>
      <c r="C17" s="9" t="s">
        <v>297</v>
      </c>
      <c r="D17" s="9" t="s">
        <v>395</v>
      </c>
      <c r="E17" s="9"/>
      <c r="F17" s="9" t="s">
        <v>396</v>
      </c>
      <c r="G17" s="9"/>
      <c r="H17" s="9" t="s">
        <v>397</v>
      </c>
      <c r="I17" s="9" t="s">
        <v>398</v>
      </c>
      <c r="J17" s="9" t="s">
        <v>321</v>
      </c>
      <c r="K17" s="9" t="s">
        <v>399</v>
      </c>
      <c r="L17" s="9" t="s">
        <v>400</v>
      </c>
      <c r="M17" s="9" t="s">
        <v>401</v>
      </c>
      <c r="N17" s="9"/>
    </row>
    <row r="18" customFormat="false" ht="35.05" hidden="false" customHeight="false" outlineLevel="0" collapsed="false">
      <c r="A18" s="9" t="s">
        <v>98</v>
      </c>
      <c r="B18" s="9" t="s">
        <v>97</v>
      </c>
      <c r="C18" s="9" t="s">
        <v>297</v>
      </c>
      <c r="D18" s="9" t="s">
        <v>402</v>
      </c>
      <c r="E18" s="9"/>
      <c r="F18" s="9" t="s">
        <v>403</v>
      </c>
      <c r="G18" s="9"/>
      <c r="H18" s="9" t="s">
        <v>404</v>
      </c>
      <c r="I18" s="9" t="s">
        <v>405</v>
      </c>
      <c r="J18" s="9" t="s">
        <v>321</v>
      </c>
      <c r="K18" s="9" t="s">
        <v>406</v>
      </c>
      <c r="L18" s="9" t="s">
        <v>407</v>
      </c>
      <c r="M18" s="9" t="s">
        <v>408</v>
      </c>
      <c r="N18" s="9"/>
    </row>
    <row r="19" customFormat="false" ht="68.65" hidden="false" customHeight="false" outlineLevel="0" collapsed="false">
      <c r="A19" s="9" t="s">
        <v>101</v>
      </c>
      <c r="B19" s="9" t="s">
        <v>97</v>
      </c>
      <c r="C19" s="9" t="s">
        <v>297</v>
      </c>
      <c r="D19" s="9" t="s">
        <v>409</v>
      </c>
      <c r="E19" s="9"/>
      <c r="F19" s="9" t="s">
        <v>410</v>
      </c>
      <c r="G19" s="9"/>
      <c r="H19" s="9"/>
      <c r="I19" s="9" t="s">
        <v>411</v>
      </c>
      <c r="J19" s="9" t="s">
        <v>412</v>
      </c>
      <c r="K19" s="9" t="s">
        <v>413</v>
      </c>
      <c r="L19" s="9" t="s">
        <v>414</v>
      </c>
      <c r="M19" s="9" t="s">
        <v>415</v>
      </c>
      <c r="N19" s="9" t="s">
        <v>416</v>
      </c>
    </row>
    <row r="20" customFormat="false" ht="46.25" hidden="false" customHeight="false" outlineLevel="0" collapsed="false">
      <c r="A20" s="9" t="s">
        <v>105</v>
      </c>
      <c r="B20" s="9" t="s">
        <v>97</v>
      </c>
      <c r="C20" s="9" t="s">
        <v>297</v>
      </c>
      <c r="D20" s="9" t="s">
        <v>417</v>
      </c>
      <c r="E20" s="9"/>
      <c r="F20" s="9" t="s">
        <v>418</v>
      </c>
      <c r="G20" s="9"/>
      <c r="H20" s="9" t="s">
        <v>419</v>
      </c>
      <c r="I20" s="9" t="s">
        <v>420</v>
      </c>
      <c r="J20" s="9" t="s">
        <v>421</v>
      </c>
      <c r="K20" s="9" t="s">
        <v>422</v>
      </c>
      <c r="L20" s="9" t="s">
        <v>423</v>
      </c>
      <c r="M20" s="9" t="s">
        <v>424</v>
      </c>
      <c r="N20" s="9"/>
    </row>
    <row r="21" customFormat="false" ht="35.05" hidden="false" customHeight="false" outlineLevel="0" collapsed="false">
      <c r="A21" s="9" t="s">
        <v>108</v>
      </c>
      <c r="B21" s="9" t="s">
        <v>97</v>
      </c>
      <c r="C21" s="9" t="s">
        <v>297</v>
      </c>
      <c r="D21" s="9" t="s">
        <v>109</v>
      </c>
      <c r="E21" s="9"/>
      <c r="F21" s="9" t="s">
        <v>425</v>
      </c>
      <c r="G21" s="9"/>
      <c r="H21" s="9" t="s">
        <v>426</v>
      </c>
      <c r="I21" s="9" t="s">
        <v>427</v>
      </c>
      <c r="J21" s="9" t="s">
        <v>321</v>
      </c>
      <c r="K21" s="9"/>
      <c r="L21" s="9" t="s">
        <v>428</v>
      </c>
      <c r="M21" s="9" t="s">
        <v>429</v>
      </c>
      <c r="N21" s="9"/>
    </row>
    <row r="22" customFormat="false" ht="35.05" hidden="false" customHeight="false" outlineLevel="0" collapsed="false">
      <c r="A22" s="9" t="s">
        <v>111</v>
      </c>
      <c r="B22" s="9" t="s">
        <v>97</v>
      </c>
      <c r="C22" s="9" t="s">
        <v>297</v>
      </c>
      <c r="D22" s="9" t="s">
        <v>112</v>
      </c>
      <c r="E22" s="9"/>
      <c r="F22" s="9" t="s">
        <v>430</v>
      </c>
      <c r="G22" s="9"/>
      <c r="H22" s="9" t="s">
        <v>431</v>
      </c>
      <c r="I22" s="9" t="s">
        <v>432</v>
      </c>
      <c r="J22" s="9" t="s">
        <v>433</v>
      </c>
      <c r="K22" s="9" t="s">
        <v>434</v>
      </c>
      <c r="L22" s="9" t="s">
        <v>435</v>
      </c>
      <c r="M22" s="9" t="s">
        <v>436</v>
      </c>
      <c r="N22" s="9" t="s">
        <v>437</v>
      </c>
    </row>
    <row r="23" customFormat="false" ht="23.85" hidden="false" customHeight="false" outlineLevel="0" collapsed="false">
      <c r="A23" s="9" t="s">
        <v>113</v>
      </c>
      <c r="B23" s="9" t="s">
        <v>97</v>
      </c>
      <c r="C23" s="9" t="s">
        <v>297</v>
      </c>
      <c r="D23" s="9" t="s">
        <v>114</v>
      </c>
      <c r="E23" s="9"/>
      <c r="F23" s="9" t="s">
        <v>438</v>
      </c>
      <c r="G23" s="9"/>
      <c r="H23" s="9" t="s">
        <v>439</v>
      </c>
      <c r="I23" s="9" t="s">
        <v>440</v>
      </c>
      <c r="J23" s="9" t="s">
        <v>321</v>
      </c>
      <c r="K23" s="9"/>
      <c r="L23" s="9" t="s">
        <v>441</v>
      </c>
      <c r="M23" s="9" t="s">
        <v>442</v>
      </c>
      <c r="N23" s="9"/>
    </row>
    <row r="24" customFormat="false" ht="35.05" hidden="false" customHeight="false" outlineLevel="0" collapsed="false">
      <c r="A24" s="9" t="s">
        <v>115</v>
      </c>
      <c r="B24" s="9" t="s">
        <v>97</v>
      </c>
      <c r="C24" s="9" t="s">
        <v>297</v>
      </c>
      <c r="D24" s="9" t="s">
        <v>116</v>
      </c>
      <c r="E24" s="9"/>
      <c r="F24" s="9" t="s">
        <v>443</v>
      </c>
      <c r="G24" s="9"/>
      <c r="H24" s="9" t="s">
        <v>444</v>
      </c>
      <c r="I24" s="9" t="s">
        <v>445</v>
      </c>
      <c r="J24" s="9" t="s">
        <v>321</v>
      </c>
      <c r="K24" s="9" t="s">
        <v>446</v>
      </c>
      <c r="L24" s="9" t="s">
        <v>447</v>
      </c>
      <c r="M24" s="9" t="s">
        <v>448</v>
      </c>
      <c r="N24" s="9"/>
    </row>
    <row r="25" customFormat="false" ht="35.05" hidden="false" customHeight="false" outlineLevel="0" collapsed="false">
      <c r="A25" s="9" t="s">
        <v>117</v>
      </c>
      <c r="B25" s="9" t="s">
        <v>97</v>
      </c>
      <c r="C25" s="9" t="s">
        <v>297</v>
      </c>
      <c r="D25" s="9" t="s">
        <v>449</v>
      </c>
      <c r="E25" s="9"/>
      <c r="F25" s="9" t="s">
        <v>450</v>
      </c>
      <c r="G25" s="9"/>
      <c r="H25" s="9" t="s">
        <v>451</v>
      </c>
      <c r="I25" s="9" t="s">
        <v>452</v>
      </c>
      <c r="J25" s="9" t="s">
        <v>453</v>
      </c>
      <c r="K25" s="9"/>
      <c r="L25" s="9" t="s">
        <v>454</v>
      </c>
      <c r="M25" s="9" t="s">
        <v>455</v>
      </c>
      <c r="N25" s="9"/>
    </row>
    <row r="26" customFormat="false" ht="79.85" hidden="false" customHeight="false" outlineLevel="0" collapsed="false">
      <c r="A26" s="9" t="s">
        <v>121</v>
      </c>
      <c r="B26" s="9" t="s">
        <v>120</v>
      </c>
      <c r="C26" s="9" t="s">
        <v>297</v>
      </c>
      <c r="D26" s="9" t="s">
        <v>122</v>
      </c>
      <c r="E26" s="9"/>
      <c r="F26" s="9" t="s">
        <v>456</v>
      </c>
      <c r="G26" s="9"/>
      <c r="H26" s="9" t="s">
        <v>457</v>
      </c>
      <c r="I26" s="9" t="s">
        <v>458</v>
      </c>
      <c r="J26" s="9"/>
      <c r="K26" s="9" t="s">
        <v>459</v>
      </c>
      <c r="L26" s="9" t="s">
        <v>460</v>
      </c>
      <c r="M26" s="9" t="s">
        <v>461</v>
      </c>
      <c r="N26" s="9"/>
    </row>
    <row r="27" customFormat="false" ht="23.85" hidden="false" customHeight="false" outlineLevel="0" collapsed="false">
      <c r="A27" s="9" t="s">
        <v>123</v>
      </c>
      <c r="B27" s="9" t="s">
        <v>120</v>
      </c>
      <c r="C27" s="9" t="s">
        <v>297</v>
      </c>
      <c r="D27" s="9" t="s">
        <v>124</v>
      </c>
      <c r="E27" s="9"/>
      <c r="F27" s="9" t="s">
        <v>462</v>
      </c>
      <c r="G27" s="9"/>
      <c r="H27" s="9" t="s">
        <v>463</v>
      </c>
      <c r="I27" s="9" t="s">
        <v>464</v>
      </c>
      <c r="J27" s="9" t="s">
        <v>321</v>
      </c>
      <c r="K27" s="9"/>
      <c r="L27" s="9" t="s">
        <v>465</v>
      </c>
      <c r="M27" s="9" t="s">
        <v>466</v>
      </c>
      <c r="N27" s="9"/>
    </row>
    <row r="28" customFormat="false" ht="68.65" hidden="false" customHeight="false" outlineLevel="0" collapsed="false">
      <c r="A28" s="9" t="s">
        <v>125</v>
      </c>
      <c r="B28" s="9" t="s">
        <v>120</v>
      </c>
      <c r="C28" s="9" t="s">
        <v>297</v>
      </c>
      <c r="D28" s="9" t="s">
        <v>126</v>
      </c>
      <c r="E28" s="9"/>
      <c r="F28" s="9" t="s">
        <v>467</v>
      </c>
      <c r="G28" s="9"/>
      <c r="H28" s="9" t="s">
        <v>468</v>
      </c>
      <c r="I28" s="9" t="s">
        <v>469</v>
      </c>
      <c r="J28" s="9"/>
      <c r="K28" s="9" t="s">
        <v>470</v>
      </c>
      <c r="L28" s="9" t="s">
        <v>471</v>
      </c>
      <c r="M28" s="9" t="s">
        <v>472</v>
      </c>
      <c r="N28" s="9"/>
    </row>
    <row r="29" customFormat="false" ht="35.05" hidden="false" customHeight="false" outlineLevel="0" collapsed="false">
      <c r="A29" s="9" t="s">
        <v>128</v>
      </c>
      <c r="B29" s="9" t="s">
        <v>120</v>
      </c>
      <c r="C29" s="9" t="s">
        <v>297</v>
      </c>
      <c r="D29" s="9" t="s">
        <v>129</v>
      </c>
      <c r="E29" s="9"/>
      <c r="F29" s="9" t="s">
        <v>473</v>
      </c>
      <c r="G29" s="9"/>
      <c r="H29" s="9" t="s">
        <v>474</v>
      </c>
      <c r="I29" s="9" t="s">
        <v>475</v>
      </c>
      <c r="J29" s="9"/>
      <c r="K29" s="9"/>
      <c r="L29" s="9" t="s">
        <v>476</v>
      </c>
      <c r="M29" s="9" t="s">
        <v>477</v>
      </c>
      <c r="N29" s="9"/>
    </row>
    <row r="30" customFormat="false" ht="68.65" hidden="false" customHeight="false" outlineLevel="0" collapsed="false">
      <c r="A30" s="9" t="s">
        <v>131</v>
      </c>
      <c r="B30" s="9" t="s">
        <v>120</v>
      </c>
      <c r="C30" s="9" t="s">
        <v>297</v>
      </c>
      <c r="D30" s="9" t="s">
        <v>132</v>
      </c>
      <c r="E30" s="9"/>
      <c r="F30" s="9" t="s">
        <v>478</v>
      </c>
      <c r="G30" s="9"/>
      <c r="H30" s="9" t="s">
        <v>479</v>
      </c>
      <c r="I30" s="9" t="s">
        <v>480</v>
      </c>
      <c r="J30" s="9" t="s">
        <v>481</v>
      </c>
      <c r="K30" s="9"/>
      <c r="L30" s="9" t="s">
        <v>482</v>
      </c>
      <c r="M30" s="9" t="s">
        <v>483</v>
      </c>
      <c r="N30" s="9" t="s">
        <v>484</v>
      </c>
    </row>
    <row r="31" customFormat="false" ht="46.25" hidden="false" customHeight="false" outlineLevel="0" collapsed="false">
      <c r="A31" s="9" t="s">
        <v>134</v>
      </c>
      <c r="B31" s="9" t="s">
        <v>120</v>
      </c>
      <c r="C31" s="9" t="s">
        <v>297</v>
      </c>
      <c r="D31" s="9" t="s">
        <v>485</v>
      </c>
      <c r="E31" s="9"/>
      <c r="F31" s="9" t="s">
        <v>486</v>
      </c>
      <c r="G31" s="9"/>
      <c r="H31" s="9"/>
      <c r="I31" s="9" t="s">
        <v>487</v>
      </c>
      <c r="J31" s="9" t="s">
        <v>488</v>
      </c>
      <c r="K31" s="9"/>
      <c r="L31" s="9" t="s">
        <v>489</v>
      </c>
      <c r="M31" s="9" t="s">
        <v>490</v>
      </c>
      <c r="N31" s="9" t="s">
        <v>491</v>
      </c>
    </row>
    <row r="32" customFormat="false" ht="35.05" hidden="false" customHeight="false" outlineLevel="0" collapsed="false">
      <c r="A32" s="9" t="s">
        <v>137</v>
      </c>
      <c r="B32" s="9" t="s">
        <v>120</v>
      </c>
      <c r="C32" s="9" t="s">
        <v>297</v>
      </c>
      <c r="D32" s="9" t="s">
        <v>138</v>
      </c>
      <c r="E32" s="9"/>
      <c r="F32" s="9" t="s">
        <v>492</v>
      </c>
      <c r="G32" s="9"/>
      <c r="H32" s="9" t="s">
        <v>493</v>
      </c>
      <c r="I32" s="9" t="s">
        <v>494</v>
      </c>
      <c r="J32" s="9"/>
      <c r="K32" s="9"/>
      <c r="L32" s="9" t="s">
        <v>495</v>
      </c>
      <c r="M32" s="9" t="s">
        <v>496</v>
      </c>
      <c r="N32" s="9"/>
    </row>
    <row r="33" customFormat="false" ht="23.85" hidden="false" customHeight="false" outlineLevel="0" collapsed="false">
      <c r="A33" s="9" t="s">
        <v>139</v>
      </c>
      <c r="B33" s="9" t="s">
        <v>120</v>
      </c>
      <c r="C33" s="9" t="s">
        <v>297</v>
      </c>
      <c r="D33" s="9" t="s">
        <v>140</v>
      </c>
      <c r="E33" s="9"/>
      <c r="F33" s="9" t="s">
        <v>497</v>
      </c>
      <c r="G33" s="9"/>
      <c r="H33" s="9"/>
      <c r="I33" s="9" t="s">
        <v>498</v>
      </c>
      <c r="J33" s="9" t="s">
        <v>321</v>
      </c>
      <c r="K33" s="9"/>
      <c r="L33" s="9" t="s">
        <v>499</v>
      </c>
      <c r="M33" s="9" t="s">
        <v>500</v>
      </c>
      <c r="N33" s="9"/>
    </row>
    <row r="34" customFormat="false" ht="35.05" hidden="false" customHeight="false" outlineLevel="0" collapsed="false">
      <c r="A34" s="9" t="s">
        <v>142</v>
      </c>
      <c r="B34" s="9" t="s">
        <v>120</v>
      </c>
      <c r="C34" s="9" t="s">
        <v>297</v>
      </c>
      <c r="D34" s="9" t="s">
        <v>143</v>
      </c>
      <c r="E34" s="9"/>
      <c r="F34" s="9" t="s">
        <v>501</v>
      </c>
      <c r="G34" s="9"/>
      <c r="H34" s="9" t="s">
        <v>502</v>
      </c>
      <c r="I34" s="9" t="s">
        <v>503</v>
      </c>
      <c r="J34" s="9" t="s">
        <v>504</v>
      </c>
      <c r="K34" s="9"/>
      <c r="L34" s="9" t="s">
        <v>505</v>
      </c>
      <c r="M34" s="9" t="s">
        <v>506</v>
      </c>
      <c r="N34" s="9"/>
    </row>
    <row r="35" customFormat="false" ht="46.25" hidden="false" customHeight="false" outlineLevel="0" collapsed="false">
      <c r="A35" s="9" t="s">
        <v>146</v>
      </c>
      <c r="B35" s="9" t="s">
        <v>145</v>
      </c>
      <c r="C35" s="9" t="s">
        <v>297</v>
      </c>
      <c r="D35" s="9" t="s">
        <v>147</v>
      </c>
      <c r="E35" s="9"/>
      <c r="F35" s="9" t="s">
        <v>507</v>
      </c>
      <c r="G35" s="9"/>
      <c r="H35" s="9" t="s">
        <v>508</v>
      </c>
      <c r="I35" s="9" t="s">
        <v>509</v>
      </c>
      <c r="J35" s="9" t="s">
        <v>510</v>
      </c>
      <c r="K35" s="9"/>
      <c r="L35" s="9" t="s">
        <v>511</v>
      </c>
      <c r="M35" s="9" t="s">
        <v>512</v>
      </c>
      <c r="N35" s="9"/>
    </row>
    <row r="36" customFormat="false" ht="35.05" hidden="false" customHeight="false" outlineLevel="0" collapsed="false">
      <c r="A36" s="9" t="s">
        <v>150</v>
      </c>
      <c r="B36" s="9" t="s">
        <v>145</v>
      </c>
      <c r="C36" s="9" t="s">
        <v>297</v>
      </c>
      <c r="D36" s="9" t="s">
        <v>513</v>
      </c>
      <c r="E36" s="9"/>
      <c r="F36" s="9" t="s">
        <v>514</v>
      </c>
      <c r="G36" s="9"/>
      <c r="H36" s="9"/>
      <c r="I36" s="9" t="s">
        <v>515</v>
      </c>
      <c r="J36" s="9" t="s">
        <v>516</v>
      </c>
      <c r="K36" s="9"/>
      <c r="L36" s="9"/>
      <c r="M36" s="9"/>
      <c r="N36" s="9" t="s">
        <v>517</v>
      </c>
    </row>
    <row r="37" customFormat="false" ht="46.25" hidden="false" customHeight="false" outlineLevel="0" collapsed="false">
      <c r="A37" s="9" t="s">
        <v>154</v>
      </c>
      <c r="B37" s="9" t="s">
        <v>145</v>
      </c>
      <c r="C37" s="9" t="s">
        <v>297</v>
      </c>
      <c r="D37" s="9" t="s">
        <v>155</v>
      </c>
      <c r="E37" s="9"/>
      <c r="F37" s="9" t="s">
        <v>518</v>
      </c>
      <c r="G37" s="9"/>
      <c r="H37" s="9" t="s">
        <v>519</v>
      </c>
      <c r="I37" s="9" t="s">
        <v>520</v>
      </c>
      <c r="J37" s="9" t="s">
        <v>521</v>
      </c>
      <c r="K37" s="9"/>
      <c r="L37" s="9" t="s">
        <v>522</v>
      </c>
      <c r="M37" s="9"/>
      <c r="N37" s="9"/>
    </row>
    <row r="38" customFormat="false" ht="35.05" hidden="false" customHeight="false" outlineLevel="0" collapsed="false">
      <c r="A38" s="9" t="s">
        <v>158</v>
      </c>
      <c r="B38" s="9" t="s">
        <v>145</v>
      </c>
      <c r="C38" s="9" t="s">
        <v>297</v>
      </c>
      <c r="D38" s="9" t="s">
        <v>159</v>
      </c>
      <c r="E38" s="9"/>
      <c r="F38" s="9" t="s">
        <v>523</v>
      </c>
      <c r="G38" s="9"/>
      <c r="H38" s="9"/>
      <c r="I38" s="9" t="s">
        <v>524</v>
      </c>
      <c r="J38" s="9" t="s">
        <v>525</v>
      </c>
      <c r="K38" s="9"/>
      <c r="L38" s="9" t="s">
        <v>526</v>
      </c>
      <c r="M38" s="9" t="s">
        <v>527</v>
      </c>
      <c r="N38" s="9"/>
    </row>
    <row r="39" customFormat="false" ht="46.25" hidden="false" customHeight="false" outlineLevel="0" collapsed="false">
      <c r="A39" s="9" t="s">
        <v>162</v>
      </c>
      <c r="B39" s="9" t="s">
        <v>161</v>
      </c>
      <c r="C39" s="9" t="s">
        <v>297</v>
      </c>
      <c r="D39" s="9" t="s">
        <v>528</v>
      </c>
      <c r="E39" s="9"/>
      <c r="F39" s="9" t="s">
        <v>529</v>
      </c>
      <c r="G39" s="9"/>
      <c r="H39" s="9" t="s">
        <v>530</v>
      </c>
      <c r="I39" s="9" t="s">
        <v>531</v>
      </c>
      <c r="J39" s="9" t="s">
        <v>532</v>
      </c>
      <c r="K39" s="9"/>
      <c r="L39" s="9" t="s">
        <v>533</v>
      </c>
      <c r="M39" s="9" t="s">
        <v>534</v>
      </c>
      <c r="N39" s="9"/>
    </row>
    <row r="40" customFormat="false" ht="35.05" hidden="false" customHeight="false" outlineLevel="0" collapsed="false">
      <c r="A40" s="9" t="s">
        <v>165</v>
      </c>
      <c r="B40" s="9" t="s">
        <v>161</v>
      </c>
      <c r="C40" s="9" t="s">
        <v>297</v>
      </c>
      <c r="D40" s="9" t="s">
        <v>535</v>
      </c>
      <c r="E40" s="9"/>
      <c r="F40" s="9" t="s">
        <v>536</v>
      </c>
      <c r="G40" s="9"/>
      <c r="H40" s="9" t="s">
        <v>537</v>
      </c>
      <c r="I40" s="9" t="s">
        <v>538</v>
      </c>
      <c r="J40" s="9" t="s">
        <v>539</v>
      </c>
      <c r="K40" s="9"/>
      <c r="L40" s="9" t="s">
        <v>540</v>
      </c>
      <c r="M40" s="9" t="s">
        <v>541</v>
      </c>
      <c r="N40" s="9"/>
    </row>
    <row r="41" customFormat="false" ht="35.05" hidden="false" customHeight="false" outlineLevel="0" collapsed="false">
      <c r="A41" s="9" t="s">
        <v>169</v>
      </c>
      <c r="B41" s="9" t="s">
        <v>161</v>
      </c>
      <c r="C41" s="9" t="s">
        <v>297</v>
      </c>
      <c r="D41" s="9" t="s">
        <v>170</v>
      </c>
      <c r="E41" s="9"/>
      <c r="F41" s="9" t="s">
        <v>542</v>
      </c>
      <c r="G41" s="9"/>
      <c r="H41" s="9"/>
      <c r="I41" s="9" t="s">
        <v>543</v>
      </c>
      <c r="J41" s="9" t="s">
        <v>544</v>
      </c>
      <c r="K41" s="9"/>
      <c r="L41" s="9" t="s">
        <v>545</v>
      </c>
      <c r="M41" s="9" t="s">
        <v>546</v>
      </c>
      <c r="N41" s="9"/>
    </row>
    <row r="42" customFormat="false" ht="35.05" hidden="false" customHeight="false" outlineLevel="0" collapsed="false">
      <c r="A42" s="9" t="s">
        <v>174</v>
      </c>
      <c r="B42" s="9" t="s">
        <v>547</v>
      </c>
      <c r="C42" s="9" t="s">
        <v>548</v>
      </c>
      <c r="D42" s="9" t="s">
        <v>549</v>
      </c>
      <c r="E42" s="9"/>
      <c r="F42" s="9" t="s">
        <v>550</v>
      </c>
      <c r="G42" s="9"/>
      <c r="H42" s="9" t="s">
        <v>551</v>
      </c>
      <c r="I42" s="9" t="s">
        <v>552</v>
      </c>
      <c r="J42" s="9" t="s">
        <v>553</v>
      </c>
      <c r="K42" s="9"/>
      <c r="L42" s="9" t="s">
        <v>554</v>
      </c>
      <c r="M42" s="9" t="s">
        <v>555</v>
      </c>
      <c r="N42" s="9"/>
    </row>
    <row r="43" customFormat="false" ht="35.05" hidden="false" customHeight="false" outlineLevel="0" collapsed="false">
      <c r="A43" s="9" t="s">
        <v>178</v>
      </c>
      <c r="B43" s="9" t="s">
        <v>547</v>
      </c>
      <c r="C43" s="9" t="s">
        <v>548</v>
      </c>
      <c r="D43" s="9" t="s">
        <v>556</v>
      </c>
      <c r="E43" s="9"/>
      <c r="F43" s="9" t="s">
        <v>557</v>
      </c>
      <c r="G43" s="9"/>
      <c r="H43" s="9" t="s">
        <v>558</v>
      </c>
      <c r="I43" s="9" t="s">
        <v>559</v>
      </c>
      <c r="J43" s="9" t="s">
        <v>560</v>
      </c>
      <c r="K43" s="9"/>
      <c r="L43" s="9" t="s">
        <v>561</v>
      </c>
      <c r="M43" s="9" t="s">
        <v>562</v>
      </c>
      <c r="N43" s="9"/>
    </row>
    <row r="44" customFormat="false" ht="35.05" hidden="false" customHeight="false" outlineLevel="0" collapsed="false">
      <c r="A44" s="9" t="s">
        <v>182</v>
      </c>
      <c r="B44" s="9" t="s">
        <v>547</v>
      </c>
      <c r="C44" s="9" t="s">
        <v>548</v>
      </c>
      <c r="D44" s="9" t="s">
        <v>563</v>
      </c>
      <c r="E44" s="9"/>
      <c r="F44" s="9" t="s">
        <v>564</v>
      </c>
      <c r="G44" s="9"/>
      <c r="H44" s="9" t="s">
        <v>565</v>
      </c>
      <c r="I44" s="9" t="s">
        <v>566</v>
      </c>
      <c r="J44" s="9" t="s">
        <v>567</v>
      </c>
      <c r="K44" s="9"/>
      <c r="L44" s="9" t="s">
        <v>568</v>
      </c>
      <c r="M44" s="9" t="s">
        <v>569</v>
      </c>
      <c r="N44" s="9"/>
    </row>
    <row r="45" customFormat="false" ht="46.25" hidden="false" customHeight="false" outlineLevel="0" collapsed="false">
      <c r="A45" s="9" t="s">
        <v>185</v>
      </c>
      <c r="B45" s="9" t="s">
        <v>547</v>
      </c>
      <c r="C45" s="9" t="s">
        <v>548</v>
      </c>
      <c r="D45" s="9" t="s">
        <v>570</v>
      </c>
      <c r="E45" s="9"/>
      <c r="F45" s="9" t="s">
        <v>571</v>
      </c>
      <c r="G45" s="9"/>
      <c r="H45" s="9"/>
      <c r="I45" s="9" t="s">
        <v>572</v>
      </c>
      <c r="J45" s="9" t="s">
        <v>573</v>
      </c>
      <c r="K45" s="9"/>
      <c r="L45" s="9" t="s">
        <v>574</v>
      </c>
      <c r="M45" s="9"/>
      <c r="N45" s="9"/>
    </row>
    <row r="46" customFormat="false" ht="35.05" hidden="false" customHeight="false" outlineLevel="0" collapsed="false">
      <c r="A46" s="9" t="s">
        <v>189</v>
      </c>
      <c r="B46" s="9" t="s">
        <v>547</v>
      </c>
      <c r="C46" s="9" t="s">
        <v>548</v>
      </c>
      <c r="D46" s="9" t="s">
        <v>190</v>
      </c>
      <c r="E46" s="9"/>
      <c r="F46" s="9"/>
      <c r="G46" s="9"/>
      <c r="H46" s="9"/>
      <c r="I46" s="9" t="s">
        <v>575</v>
      </c>
      <c r="J46" s="9" t="s">
        <v>576</v>
      </c>
      <c r="K46" s="9"/>
      <c r="L46" s="9" t="s">
        <v>577</v>
      </c>
      <c r="M46" s="9"/>
      <c r="N46" s="9"/>
    </row>
    <row r="47" customFormat="false" ht="35.05" hidden="false" customHeight="false" outlineLevel="0" collapsed="false">
      <c r="A47" s="9" t="s">
        <v>193</v>
      </c>
      <c r="B47" s="9" t="s">
        <v>547</v>
      </c>
      <c r="C47" s="9" t="s">
        <v>548</v>
      </c>
      <c r="D47" s="9" t="s">
        <v>578</v>
      </c>
      <c r="E47" s="9"/>
      <c r="F47" s="9" t="s">
        <v>579</v>
      </c>
      <c r="G47" s="9"/>
      <c r="H47" s="9"/>
      <c r="I47" s="9" t="s">
        <v>580</v>
      </c>
      <c r="J47" s="9" t="s">
        <v>581</v>
      </c>
      <c r="K47" s="9"/>
      <c r="L47" s="9"/>
      <c r="M47" s="9"/>
      <c r="N47" s="9"/>
    </row>
    <row r="48" customFormat="false" ht="46.25" hidden="false" customHeight="false" outlineLevel="0" collapsed="false">
      <c r="A48" s="9" t="s">
        <v>197</v>
      </c>
      <c r="B48" s="9" t="s">
        <v>547</v>
      </c>
      <c r="C48" s="9" t="s">
        <v>548</v>
      </c>
      <c r="D48" s="9" t="s">
        <v>582</v>
      </c>
      <c r="E48" s="9"/>
      <c r="F48" s="9" t="s">
        <v>583</v>
      </c>
      <c r="G48" s="9"/>
      <c r="H48" s="9"/>
      <c r="I48" s="9"/>
      <c r="J48" s="9" t="s">
        <v>584</v>
      </c>
      <c r="K48" s="9"/>
      <c r="L48" s="9" t="s">
        <v>585</v>
      </c>
      <c r="M48" s="9" t="s">
        <v>586</v>
      </c>
      <c r="N48" s="9"/>
    </row>
    <row r="49" customFormat="false" ht="35.05" hidden="false" customHeight="false" outlineLevel="0" collapsed="false">
      <c r="A49" s="9" t="s">
        <v>200</v>
      </c>
      <c r="B49" s="9" t="s">
        <v>547</v>
      </c>
      <c r="C49" s="9" t="s">
        <v>548</v>
      </c>
      <c r="D49" s="9" t="s">
        <v>201</v>
      </c>
      <c r="E49" s="9"/>
      <c r="F49" s="9"/>
      <c r="G49" s="9"/>
      <c r="H49" s="9"/>
      <c r="I49" s="9"/>
      <c r="J49" s="9"/>
      <c r="K49" s="9"/>
      <c r="L49" s="9"/>
      <c r="M49" s="9"/>
      <c r="N49" s="9" t="s">
        <v>587</v>
      </c>
    </row>
    <row r="50" customFormat="false" ht="46.25" hidden="false" customHeight="false" outlineLevel="0" collapsed="false">
      <c r="A50" s="9" t="s">
        <v>205</v>
      </c>
      <c r="B50" s="9" t="s">
        <v>204</v>
      </c>
      <c r="C50" s="9" t="s">
        <v>588</v>
      </c>
      <c r="D50" s="9" t="s">
        <v>589</v>
      </c>
      <c r="E50" s="9"/>
      <c r="F50" s="9" t="s">
        <v>590</v>
      </c>
      <c r="G50" s="9"/>
      <c r="H50" s="9"/>
      <c r="I50" s="9" t="s">
        <v>591</v>
      </c>
      <c r="J50" s="9" t="s">
        <v>592</v>
      </c>
      <c r="K50" s="9"/>
      <c r="L50" s="9" t="s">
        <v>593</v>
      </c>
      <c r="M50" s="9" t="s">
        <v>594</v>
      </c>
      <c r="N50" s="9"/>
    </row>
    <row r="51" customFormat="false" ht="46.25" hidden="false" customHeight="false" outlineLevel="0" collapsed="false">
      <c r="A51" s="9" t="s">
        <v>209</v>
      </c>
      <c r="B51" s="9" t="s">
        <v>204</v>
      </c>
      <c r="C51" s="9" t="s">
        <v>588</v>
      </c>
      <c r="D51" s="9" t="s">
        <v>210</v>
      </c>
      <c r="E51" s="9"/>
      <c r="F51" s="9"/>
      <c r="G51" s="9"/>
      <c r="H51" s="9" t="s">
        <v>595</v>
      </c>
      <c r="I51" s="9" t="s">
        <v>596</v>
      </c>
      <c r="J51" s="9" t="s">
        <v>597</v>
      </c>
      <c r="K51" s="9"/>
      <c r="L51" s="9" t="s">
        <v>598</v>
      </c>
      <c r="M51" s="9" t="s">
        <v>599</v>
      </c>
      <c r="N51" s="9"/>
    </row>
    <row r="52" customFormat="false" ht="46.25" hidden="false" customHeight="false" outlineLevel="0" collapsed="false">
      <c r="A52" s="9" t="s">
        <v>212</v>
      </c>
      <c r="B52" s="9" t="s">
        <v>204</v>
      </c>
      <c r="C52" s="9" t="s">
        <v>588</v>
      </c>
      <c r="D52" s="9" t="s">
        <v>600</v>
      </c>
      <c r="E52" s="9"/>
      <c r="F52" s="9" t="s">
        <v>601</v>
      </c>
      <c r="G52" s="9"/>
      <c r="H52" s="9"/>
      <c r="I52" s="9" t="s">
        <v>602</v>
      </c>
      <c r="J52" s="9" t="s">
        <v>603</v>
      </c>
      <c r="K52" s="9"/>
      <c r="L52" s="9" t="s">
        <v>604</v>
      </c>
      <c r="M52" s="9"/>
      <c r="N52" s="9"/>
    </row>
    <row r="53" customFormat="false" ht="46.25" hidden="false" customHeight="false" outlineLevel="0" collapsed="false">
      <c r="A53" s="9" t="s">
        <v>216</v>
      </c>
      <c r="B53" s="9" t="s">
        <v>204</v>
      </c>
      <c r="C53" s="9" t="s">
        <v>588</v>
      </c>
      <c r="D53" s="9" t="s">
        <v>605</v>
      </c>
      <c r="E53" s="9"/>
      <c r="F53" s="9" t="s">
        <v>606</v>
      </c>
      <c r="G53" s="9"/>
      <c r="H53" s="9"/>
      <c r="I53" s="9" t="s">
        <v>607</v>
      </c>
      <c r="J53" s="9"/>
      <c r="K53" s="9"/>
      <c r="L53" s="9" t="s">
        <v>608</v>
      </c>
      <c r="M53" s="9"/>
      <c r="N53" s="9"/>
    </row>
    <row r="54" customFormat="false" ht="23.85" hidden="false" customHeight="false" outlineLevel="0" collapsed="false">
      <c r="A54" s="9" t="s">
        <v>219</v>
      </c>
      <c r="B54" s="9" t="s">
        <v>204</v>
      </c>
      <c r="C54" s="9" t="s">
        <v>588</v>
      </c>
      <c r="D54" s="9" t="s">
        <v>220</v>
      </c>
      <c r="E54" s="9"/>
      <c r="F54" s="9" t="s">
        <v>609</v>
      </c>
      <c r="G54" s="9"/>
      <c r="H54" s="9"/>
      <c r="I54" s="9" t="s">
        <v>610</v>
      </c>
      <c r="J54" s="9" t="s">
        <v>611</v>
      </c>
      <c r="K54" s="9"/>
      <c r="L54" s="9" t="s">
        <v>612</v>
      </c>
      <c r="M54" s="9"/>
      <c r="N54" s="9"/>
    </row>
    <row r="55" customFormat="false" ht="23.85" hidden="false" customHeight="false" outlineLevel="0" collapsed="false">
      <c r="A55" s="9" t="s">
        <v>223</v>
      </c>
      <c r="B55" s="9" t="s">
        <v>204</v>
      </c>
      <c r="C55" s="9" t="s">
        <v>588</v>
      </c>
      <c r="D55" s="9" t="s">
        <v>613</v>
      </c>
      <c r="E55" s="9"/>
      <c r="F55" s="9"/>
      <c r="G55" s="9"/>
      <c r="H55" s="9"/>
      <c r="I55" s="9" t="s">
        <v>614</v>
      </c>
      <c r="J55" s="9" t="s">
        <v>615</v>
      </c>
      <c r="K55" s="9"/>
      <c r="L55" s="9"/>
      <c r="M55" s="9"/>
      <c r="N55" s="9"/>
    </row>
    <row r="56" customFormat="false" ht="57.45" hidden="false" customHeight="false" outlineLevel="0" collapsed="false">
      <c r="A56" s="9" t="s">
        <v>226</v>
      </c>
      <c r="B56" s="9" t="s">
        <v>204</v>
      </c>
      <c r="C56" s="9" t="s">
        <v>588</v>
      </c>
      <c r="D56" s="9" t="s">
        <v>616</v>
      </c>
      <c r="E56" s="9"/>
      <c r="F56" s="9"/>
      <c r="G56" s="9"/>
      <c r="H56" s="9"/>
      <c r="I56" s="9"/>
      <c r="J56" s="9"/>
      <c r="K56" s="9"/>
      <c r="L56" s="9"/>
      <c r="M56" s="9"/>
      <c r="N56" s="9" t="s">
        <v>617</v>
      </c>
    </row>
    <row r="57" customFormat="false" ht="35.05" hidden="false" customHeight="false" outlineLevel="0" collapsed="false">
      <c r="A57" s="11" t="s">
        <v>230</v>
      </c>
      <c r="B57" s="11" t="s">
        <v>618</v>
      </c>
      <c r="C57" s="11" t="s">
        <v>619</v>
      </c>
      <c r="D57" s="11" t="s">
        <v>620</v>
      </c>
      <c r="E57" s="11" t="s">
        <v>621</v>
      </c>
      <c r="F57" s="11" t="s">
        <v>622</v>
      </c>
      <c r="G57" s="11"/>
      <c r="H57" s="11" t="s">
        <v>623</v>
      </c>
      <c r="I57" s="11" t="s">
        <v>624</v>
      </c>
      <c r="J57" s="11" t="s">
        <v>625</v>
      </c>
      <c r="K57" s="11"/>
      <c r="L57" s="11" t="s">
        <v>626</v>
      </c>
      <c r="M57" s="11" t="s">
        <v>627</v>
      </c>
      <c r="N57" s="11"/>
    </row>
    <row r="58" customFormat="false" ht="35.05" hidden="false" customHeight="false" outlineLevel="0" collapsed="false">
      <c r="A58" s="11" t="s">
        <v>235</v>
      </c>
      <c r="B58" s="11" t="s">
        <v>618</v>
      </c>
      <c r="C58" s="11" t="s">
        <v>619</v>
      </c>
      <c r="D58" s="11" t="s">
        <v>628</v>
      </c>
      <c r="E58" s="11" t="s">
        <v>629</v>
      </c>
      <c r="F58" s="11" t="s">
        <v>630</v>
      </c>
      <c r="G58" s="11"/>
      <c r="H58" s="11" t="s">
        <v>631</v>
      </c>
      <c r="I58" s="11" t="s">
        <v>411</v>
      </c>
      <c r="J58" s="11" t="s">
        <v>632</v>
      </c>
      <c r="K58" s="11"/>
      <c r="L58" s="11" t="s">
        <v>633</v>
      </c>
      <c r="M58" s="11" t="s">
        <v>634</v>
      </c>
      <c r="N58" s="11"/>
    </row>
    <row r="59" customFormat="false" ht="35.05" hidden="false" customHeight="false" outlineLevel="0" collapsed="false">
      <c r="A59" s="10" t="s">
        <v>239</v>
      </c>
      <c r="B59" s="10" t="s">
        <v>618</v>
      </c>
      <c r="C59" s="10" t="s">
        <v>619</v>
      </c>
      <c r="D59" s="10" t="s">
        <v>635</v>
      </c>
      <c r="E59" s="10" t="s">
        <v>636</v>
      </c>
      <c r="F59" s="10" t="s">
        <v>637</v>
      </c>
      <c r="G59" s="10"/>
      <c r="H59" s="10" t="s">
        <v>638</v>
      </c>
      <c r="I59" s="10" t="s">
        <v>639</v>
      </c>
      <c r="J59" s="10" t="s">
        <v>640</v>
      </c>
      <c r="K59" s="10"/>
      <c r="L59" s="10" t="s">
        <v>641</v>
      </c>
      <c r="M59" s="10" t="s">
        <v>642</v>
      </c>
      <c r="N59" s="10"/>
    </row>
    <row r="60" customFormat="false" ht="46.25" hidden="false" customHeight="false" outlineLevel="0" collapsed="false">
      <c r="A60" s="11" t="s">
        <v>243</v>
      </c>
      <c r="B60" s="11" t="s">
        <v>618</v>
      </c>
      <c r="C60" s="11" t="s">
        <v>619</v>
      </c>
      <c r="D60" s="11" t="s">
        <v>643</v>
      </c>
      <c r="E60" s="11" t="s">
        <v>644</v>
      </c>
      <c r="F60" s="11"/>
      <c r="G60" s="11"/>
      <c r="H60" s="11" t="s">
        <v>645</v>
      </c>
      <c r="I60" s="11" t="s">
        <v>646</v>
      </c>
      <c r="J60" s="11" t="s">
        <v>647</v>
      </c>
      <c r="K60" s="11"/>
      <c r="L60" s="11" t="s">
        <v>648</v>
      </c>
      <c r="M60" s="11" t="s">
        <v>649</v>
      </c>
      <c r="N60" s="11"/>
    </row>
    <row r="61" customFormat="false" ht="57.45" hidden="false" customHeight="false" outlineLevel="0" collapsed="false">
      <c r="A61" s="11" t="s">
        <v>246</v>
      </c>
      <c r="B61" s="11" t="s">
        <v>618</v>
      </c>
      <c r="C61" s="11" t="s">
        <v>619</v>
      </c>
      <c r="D61" s="11" t="s">
        <v>650</v>
      </c>
      <c r="E61" s="11" t="s">
        <v>651</v>
      </c>
      <c r="F61" s="11"/>
      <c r="G61" s="11"/>
      <c r="H61" s="11"/>
      <c r="I61" s="11" t="s">
        <v>652</v>
      </c>
      <c r="J61" s="11" t="s">
        <v>653</v>
      </c>
      <c r="K61" s="11"/>
      <c r="L61" s="11" t="s">
        <v>654</v>
      </c>
      <c r="M61" s="11" t="s">
        <v>655</v>
      </c>
      <c r="N61" s="11"/>
    </row>
    <row r="62" customFormat="false" ht="35.05" hidden="false" customHeight="false" outlineLevel="0" collapsed="false">
      <c r="A62" s="10" t="s">
        <v>249</v>
      </c>
      <c r="B62" s="10" t="s">
        <v>618</v>
      </c>
      <c r="C62" s="10" t="s">
        <v>619</v>
      </c>
      <c r="D62" s="10" t="s">
        <v>250</v>
      </c>
      <c r="E62" s="10" t="s">
        <v>656</v>
      </c>
      <c r="F62" s="10" t="s">
        <v>657</v>
      </c>
      <c r="G62" s="10"/>
      <c r="H62" s="10"/>
      <c r="I62" s="10" t="s">
        <v>658</v>
      </c>
      <c r="J62" s="10" t="s">
        <v>659</v>
      </c>
      <c r="K62" s="10"/>
      <c r="L62" s="10" t="s">
        <v>660</v>
      </c>
      <c r="M62" s="10" t="s">
        <v>661</v>
      </c>
      <c r="N62" s="10"/>
    </row>
    <row r="63" customFormat="false" ht="35.05" hidden="false" customHeight="false" outlineLevel="0" collapsed="false">
      <c r="A63" s="10" t="s">
        <v>252</v>
      </c>
      <c r="B63" s="10" t="s">
        <v>618</v>
      </c>
      <c r="C63" s="10" t="s">
        <v>619</v>
      </c>
      <c r="D63" s="10" t="s">
        <v>253</v>
      </c>
      <c r="E63" s="10" t="s">
        <v>656</v>
      </c>
      <c r="F63" s="10" t="s">
        <v>662</v>
      </c>
      <c r="G63" s="10"/>
      <c r="H63" s="10"/>
      <c r="I63" s="10" t="s">
        <v>663</v>
      </c>
      <c r="J63" s="10" t="s">
        <v>664</v>
      </c>
      <c r="K63" s="10"/>
      <c r="L63" s="10" t="s">
        <v>665</v>
      </c>
      <c r="M63" s="10" t="s">
        <v>666</v>
      </c>
      <c r="N63" s="10"/>
    </row>
    <row r="64" customFormat="false" ht="35.05" hidden="false" customHeight="false" outlineLevel="0" collapsed="false">
      <c r="A64" s="10" t="s">
        <v>255</v>
      </c>
      <c r="B64" s="10" t="s">
        <v>618</v>
      </c>
      <c r="C64" s="10" t="s">
        <v>619</v>
      </c>
      <c r="D64" s="10" t="s">
        <v>667</v>
      </c>
      <c r="E64" s="10" t="s">
        <v>656</v>
      </c>
      <c r="F64" s="10" t="s">
        <v>668</v>
      </c>
      <c r="G64" s="10"/>
      <c r="H64" s="10"/>
      <c r="I64" s="10" t="s">
        <v>669</v>
      </c>
      <c r="J64" s="10" t="s">
        <v>670</v>
      </c>
      <c r="K64" s="10"/>
      <c r="L64" s="10" t="s">
        <v>671</v>
      </c>
      <c r="M64" s="10" t="s">
        <v>672</v>
      </c>
      <c r="N64" s="10"/>
    </row>
    <row r="65" customFormat="false" ht="46.25" hidden="false" customHeight="false" outlineLevel="0" collapsed="false">
      <c r="A65" s="10" t="s">
        <v>257</v>
      </c>
      <c r="B65" s="10" t="s">
        <v>618</v>
      </c>
      <c r="C65" s="10" t="s">
        <v>619</v>
      </c>
      <c r="D65" s="10" t="s">
        <v>673</v>
      </c>
      <c r="E65" s="10" t="s">
        <v>674</v>
      </c>
      <c r="F65" s="10" t="s">
        <v>675</v>
      </c>
      <c r="G65" s="10"/>
      <c r="H65" s="10" t="s">
        <v>676</v>
      </c>
      <c r="I65" s="10" t="s">
        <v>677</v>
      </c>
      <c r="J65" s="10" t="s">
        <v>678</v>
      </c>
      <c r="K65" s="10"/>
      <c r="L65" s="10" t="s">
        <v>679</v>
      </c>
      <c r="M65" s="10" t="s">
        <v>680</v>
      </c>
      <c r="N65" s="10"/>
    </row>
    <row r="66" customFormat="false" ht="46.25" hidden="false" customHeight="false" outlineLevel="0" collapsed="false">
      <c r="A66" s="10" t="s">
        <v>260</v>
      </c>
      <c r="B66" s="10" t="s">
        <v>618</v>
      </c>
      <c r="C66" s="10" t="s">
        <v>619</v>
      </c>
      <c r="D66" s="10" t="s">
        <v>681</v>
      </c>
      <c r="E66" s="10" t="s">
        <v>682</v>
      </c>
      <c r="F66" s="10" t="s">
        <v>683</v>
      </c>
      <c r="G66" s="10"/>
      <c r="H66" s="10"/>
      <c r="I66" s="10" t="s">
        <v>684</v>
      </c>
      <c r="J66" s="10" t="s">
        <v>685</v>
      </c>
      <c r="K66" s="10"/>
      <c r="L66" s="10" t="s">
        <v>686</v>
      </c>
      <c r="M66" s="10" t="s">
        <v>687</v>
      </c>
      <c r="N66" s="10"/>
    </row>
    <row r="67" customFormat="false" ht="35.05" hidden="false" customHeight="false" outlineLevel="0" collapsed="false">
      <c r="A67" s="11" t="s">
        <v>262</v>
      </c>
      <c r="B67" s="11" t="s">
        <v>618</v>
      </c>
      <c r="C67" s="11" t="s">
        <v>619</v>
      </c>
      <c r="D67" s="11" t="s">
        <v>688</v>
      </c>
      <c r="E67" s="11" t="s">
        <v>689</v>
      </c>
      <c r="F67" s="11" t="s">
        <v>690</v>
      </c>
      <c r="G67" s="11"/>
      <c r="H67" s="11"/>
      <c r="I67" s="11" t="s">
        <v>691</v>
      </c>
      <c r="J67" s="11" t="s">
        <v>692</v>
      </c>
      <c r="K67" s="11"/>
      <c r="L67" s="11" t="s">
        <v>693</v>
      </c>
      <c r="M67" s="11" t="s">
        <v>694</v>
      </c>
      <c r="N67" s="11"/>
    </row>
    <row r="68" customFormat="false" ht="46.25" hidden="false" customHeight="false" outlineLevel="0" collapsed="false">
      <c r="A68" s="11" t="s">
        <v>265</v>
      </c>
      <c r="B68" s="11" t="s">
        <v>618</v>
      </c>
      <c r="C68" s="11" t="s">
        <v>619</v>
      </c>
      <c r="D68" s="11" t="s">
        <v>266</v>
      </c>
      <c r="E68" s="11" t="s">
        <v>695</v>
      </c>
      <c r="F68" s="11" t="s">
        <v>696</v>
      </c>
      <c r="G68" s="11"/>
      <c r="H68" s="11" t="s">
        <v>697</v>
      </c>
      <c r="I68" s="11" t="s">
        <v>698</v>
      </c>
      <c r="J68" s="11" t="s">
        <v>653</v>
      </c>
      <c r="K68" s="11"/>
      <c r="L68" s="11" t="s">
        <v>699</v>
      </c>
      <c r="M68" s="11" t="s">
        <v>700</v>
      </c>
      <c r="N68" s="11"/>
    </row>
    <row r="69" customFormat="false" ht="46.25" hidden="false" customHeight="false" outlineLevel="0" collapsed="false">
      <c r="A69" s="10" t="s">
        <v>268</v>
      </c>
      <c r="B69" s="10" t="s">
        <v>618</v>
      </c>
      <c r="C69" s="10" t="s">
        <v>619</v>
      </c>
      <c r="D69" s="10" t="s">
        <v>701</v>
      </c>
      <c r="E69" s="10" t="s">
        <v>656</v>
      </c>
      <c r="F69" s="10" t="s">
        <v>702</v>
      </c>
      <c r="G69" s="10"/>
      <c r="H69" s="10" t="s">
        <v>703</v>
      </c>
      <c r="I69" s="10" t="s">
        <v>704</v>
      </c>
      <c r="J69" s="10" t="s">
        <v>705</v>
      </c>
      <c r="K69" s="10"/>
      <c r="L69" s="10" t="s">
        <v>706</v>
      </c>
      <c r="M69" s="10" t="s">
        <v>707</v>
      </c>
      <c r="N69" s="10"/>
    </row>
    <row r="70" customFormat="false" ht="23.85" hidden="false" customHeight="false" outlineLevel="0" collapsed="false">
      <c r="A70" s="10" t="s">
        <v>271</v>
      </c>
      <c r="B70" s="10" t="s">
        <v>618</v>
      </c>
      <c r="C70" s="10" t="s">
        <v>619</v>
      </c>
      <c r="D70" s="10" t="s">
        <v>708</v>
      </c>
      <c r="E70" s="10" t="s">
        <v>656</v>
      </c>
      <c r="F70" s="10" t="s">
        <v>709</v>
      </c>
      <c r="G70" s="10"/>
      <c r="H70" s="10"/>
      <c r="I70" s="10" t="s">
        <v>710</v>
      </c>
      <c r="J70" s="10" t="s">
        <v>653</v>
      </c>
      <c r="K70" s="10"/>
      <c r="L70" s="10" t="s">
        <v>711</v>
      </c>
      <c r="M70" s="10" t="s">
        <v>712</v>
      </c>
      <c r="N70" s="10" t="s">
        <v>713</v>
      </c>
    </row>
    <row r="71" customFormat="false" ht="35.05" hidden="false" customHeight="false" outlineLevel="0" collapsed="false">
      <c r="A71" s="10" t="s">
        <v>274</v>
      </c>
      <c r="B71" s="10" t="s">
        <v>618</v>
      </c>
      <c r="C71" s="10" t="s">
        <v>619</v>
      </c>
      <c r="D71" s="10" t="s">
        <v>714</v>
      </c>
      <c r="E71" s="10" t="s">
        <v>656</v>
      </c>
      <c r="F71" s="10" t="s">
        <v>715</v>
      </c>
      <c r="G71" s="10"/>
      <c r="H71" s="10" t="s">
        <v>716</v>
      </c>
      <c r="I71" s="10" t="s">
        <v>717</v>
      </c>
      <c r="J71" s="10" t="s">
        <v>678</v>
      </c>
      <c r="K71" s="10"/>
      <c r="L71" s="10" t="s">
        <v>718</v>
      </c>
      <c r="M71" s="10" t="s">
        <v>680</v>
      </c>
      <c r="N71" s="10"/>
    </row>
    <row r="72" customFormat="false" ht="35.05" hidden="false" customHeight="false" outlineLevel="0" collapsed="false">
      <c r="A72" s="10" t="s">
        <v>276</v>
      </c>
      <c r="B72" s="10" t="s">
        <v>618</v>
      </c>
      <c r="C72" s="10" t="s">
        <v>619</v>
      </c>
      <c r="D72" s="10" t="s">
        <v>277</v>
      </c>
      <c r="E72" s="10" t="s">
        <v>719</v>
      </c>
      <c r="F72" s="10" t="s">
        <v>720</v>
      </c>
      <c r="G72" s="10"/>
      <c r="H72" s="10"/>
      <c r="I72" s="10" t="s">
        <v>721</v>
      </c>
      <c r="J72" s="10" t="s">
        <v>722</v>
      </c>
      <c r="K72" s="10"/>
      <c r="L72" s="10" t="s">
        <v>723</v>
      </c>
      <c r="M72" s="10" t="s">
        <v>724</v>
      </c>
      <c r="N72" s="10" t="s">
        <v>725</v>
      </c>
    </row>
    <row r="73" customFormat="false" ht="68.65" hidden="false" customHeight="false" outlineLevel="0" collapsed="false">
      <c r="A73" s="9" t="s">
        <v>279</v>
      </c>
      <c r="B73" s="9" t="s">
        <v>618</v>
      </c>
      <c r="C73" s="9" t="s">
        <v>619</v>
      </c>
      <c r="D73" s="9" t="s">
        <v>726</v>
      </c>
      <c r="E73" s="9"/>
      <c r="F73" s="9" t="s">
        <v>727</v>
      </c>
      <c r="G73" s="9"/>
      <c r="H73" s="9"/>
      <c r="I73" s="9" t="s">
        <v>728</v>
      </c>
      <c r="J73" s="9"/>
      <c r="K73" s="9"/>
      <c r="L73" s="9" t="s">
        <v>729</v>
      </c>
      <c r="M73" s="9" t="s">
        <v>730</v>
      </c>
      <c r="N73" s="9" t="s">
        <v>731</v>
      </c>
    </row>
  </sheetData>
  <autoFilter ref="A4:N7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0"/>
    <col collapsed="false" customWidth="true" hidden="false" outlineLevel="0" max="3" min="3" style="0" width="36"/>
    <col collapsed="false" customWidth="true" hidden="false" outlineLevel="0" max="4" min="4" style="0" width="34"/>
    <col collapsed="false" customWidth="true" hidden="false" outlineLevel="0" max="5" min="5" style="0" width="40"/>
  </cols>
  <sheetData>
    <row r="1" customFormat="false" ht="17.35" hidden="false" customHeight="false" outlineLevel="0" collapsed="false">
      <c r="A1" s="1" t="s">
        <v>732</v>
      </c>
    </row>
    <row r="2" customFormat="false" ht="15" hidden="false" customHeight="false" outlineLevel="0" collapsed="false">
      <c r="A2" s="2" t="s">
        <v>733</v>
      </c>
    </row>
    <row r="4" customFormat="false" ht="23.85" hidden="false" customHeight="false" outlineLevel="0" collapsed="false">
      <c r="A4" s="7" t="s">
        <v>285</v>
      </c>
      <c r="B4" s="7" t="s">
        <v>734</v>
      </c>
      <c r="C4" s="7" t="s">
        <v>735</v>
      </c>
      <c r="D4" s="7" t="s">
        <v>736</v>
      </c>
      <c r="E4" s="7" t="s">
        <v>737</v>
      </c>
    </row>
    <row r="5" customFormat="false" ht="35.05" hidden="false" customHeight="false" outlineLevel="0" collapsed="false">
      <c r="A5" s="9" t="s">
        <v>738</v>
      </c>
      <c r="B5" s="9" t="s">
        <v>739</v>
      </c>
      <c r="C5" s="9" t="s">
        <v>740</v>
      </c>
      <c r="D5" s="9" t="s">
        <v>741</v>
      </c>
      <c r="E5" s="9" t="s">
        <v>741</v>
      </c>
    </row>
    <row r="6" customFormat="false" ht="35.05" hidden="false" customHeight="false" outlineLevel="0" collapsed="false">
      <c r="A6" s="9" t="s">
        <v>742</v>
      </c>
      <c r="B6" s="9" t="s">
        <v>743</v>
      </c>
      <c r="C6" s="9" t="s">
        <v>744</v>
      </c>
      <c r="D6" s="9" t="s">
        <v>745</v>
      </c>
      <c r="E6" s="9" t="s">
        <v>746</v>
      </c>
    </row>
    <row r="7" customFormat="false" ht="35.05" hidden="false" customHeight="false" outlineLevel="0" collapsed="false">
      <c r="A7" s="9" t="s">
        <v>747</v>
      </c>
      <c r="B7" s="9" t="s">
        <v>748</v>
      </c>
      <c r="C7" s="9" t="s">
        <v>749</v>
      </c>
      <c r="D7" s="9" t="s">
        <v>750</v>
      </c>
      <c r="E7" s="9" t="s">
        <v>751</v>
      </c>
    </row>
    <row r="9" customFormat="false" ht="15" hidden="false" customHeight="false" outlineLevel="0" collapsed="false">
      <c r="A9" s="5" t="s">
        <v>752</v>
      </c>
    </row>
    <row r="10" customFormat="false" ht="30" hidden="false" customHeight="true" outlineLevel="0" collapsed="false">
      <c r="A10" s="12" t="s">
        <v>753</v>
      </c>
      <c r="B10" s="12"/>
      <c r="C10" s="12"/>
      <c r="D10" s="12"/>
      <c r="E10" s="12"/>
    </row>
    <row r="11" customFormat="false" ht="30" hidden="false" customHeight="true" outlineLevel="0" collapsed="false">
      <c r="A11" s="12" t="s">
        <v>754</v>
      </c>
      <c r="B11" s="12"/>
      <c r="C11" s="12"/>
      <c r="D11" s="12"/>
      <c r="E11" s="12"/>
    </row>
    <row r="12" customFormat="false" ht="30" hidden="false" customHeight="true" outlineLevel="0" collapsed="false">
      <c r="A12" s="12" t="s">
        <v>755</v>
      </c>
      <c r="B12" s="12"/>
      <c r="C12" s="12"/>
      <c r="D12" s="12"/>
      <c r="E12" s="12"/>
    </row>
  </sheetData>
  <autoFilter ref="A4:E7"/>
  <mergeCells count="3">
    <mergeCell ref="A10:E10"/>
    <mergeCell ref="A11:E11"/>
    <mergeCell ref="A12:E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70"/>
  </cols>
  <sheetData>
    <row r="1" customFormat="false" ht="17.35" hidden="false" customHeight="false" outlineLevel="0" collapsed="false">
      <c r="A1" s="1" t="s">
        <v>756</v>
      </c>
    </row>
    <row r="2" customFormat="false" ht="15" hidden="false" customHeight="false" outlineLevel="0" collapsed="false">
      <c r="A2" s="2" t="s">
        <v>757</v>
      </c>
    </row>
    <row r="4" customFormat="false" ht="15" hidden="false" customHeight="false" outlineLevel="0" collapsed="false">
      <c r="A4" s="13" t="s">
        <v>758</v>
      </c>
      <c r="B4" s="14"/>
      <c r="C4" s="14"/>
    </row>
    <row r="5" customFormat="false" ht="15" hidden="false" customHeight="false" outlineLevel="0" collapsed="false">
      <c r="A5" s="15" t="s">
        <v>759</v>
      </c>
      <c r="B5" s="16" t="n">
        <v>65</v>
      </c>
      <c r="C5" s="17" t="s">
        <v>760</v>
      </c>
    </row>
    <row r="6" customFormat="false" ht="15" hidden="false" customHeight="false" outlineLevel="0" collapsed="false">
      <c r="A6" s="15" t="s">
        <v>761</v>
      </c>
      <c r="B6" s="18" t="n">
        <v>3</v>
      </c>
      <c r="C6" s="17" t="s">
        <v>760</v>
      </c>
    </row>
    <row r="7" customFormat="false" ht="15" hidden="false" customHeight="false" outlineLevel="0" collapsed="false">
      <c r="A7" s="15" t="s">
        <v>762</v>
      </c>
      <c r="B7" s="16" t="n">
        <v>12</v>
      </c>
      <c r="C7" s="17" t="s">
        <v>760</v>
      </c>
    </row>
    <row r="8" customFormat="false" ht="15" hidden="false" customHeight="false" outlineLevel="0" collapsed="false">
      <c r="A8" s="15" t="s">
        <v>763</v>
      </c>
      <c r="B8" s="16" t="n">
        <v>5</v>
      </c>
      <c r="C8" s="17" t="s">
        <v>760</v>
      </c>
    </row>
    <row r="9" customFormat="false" ht="15" hidden="false" customHeight="false" outlineLevel="0" collapsed="false">
      <c r="A9" s="15" t="s">
        <v>764</v>
      </c>
      <c r="B9" s="19" t="n">
        <v>0.5</v>
      </c>
      <c r="C9" s="17" t="s">
        <v>765</v>
      </c>
    </row>
    <row r="10" customFormat="false" ht="15" hidden="false" customHeight="false" outlineLevel="0" collapsed="false">
      <c r="A10" s="13" t="s">
        <v>766</v>
      </c>
      <c r="B10" s="14"/>
      <c r="C10" s="14"/>
    </row>
    <row r="11" customFormat="false" ht="15" hidden="false" customHeight="false" outlineLevel="0" collapsed="false">
      <c r="A11" s="15" t="s">
        <v>767</v>
      </c>
      <c r="B11" s="18" t="n">
        <v>1</v>
      </c>
      <c r="C11" s="17" t="s">
        <v>768</v>
      </c>
    </row>
    <row r="12" customFormat="false" ht="15" hidden="false" customHeight="false" outlineLevel="0" collapsed="false">
      <c r="A12" s="15" t="s">
        <v>769</v>
      </c>
      <c r="B12" s="18" t="n">
        <v>5</v>
      </c>
      <c r="C12" s="17" t="s">
        <v>770</v>
      </c>
    </row>
    <row r="13" customFormat="false" ht="15" hidden="false" customHeight="false" outlineLevel="0" collapsed="false">
      <c r="A13" s="15" t="s">
        <v>771</v>
      </c>
      <c r="B13" s="16" t="n">
        <v>470</v>
      </c>
      <c r="C13" s="17" t="s">
        <v>772</v>
      </c>
    </row>
    <row r="14" customFormat="false" ht="15" hidden="false" customHeight="false" outlineLevel="0" collapsed="false">
      <c r="A14" s="15" t="s">
        <v>773</v>
      </c>
      <c r="B14" s="16" t="n">
        <v>24</v>
      </c>
      <c r="C14" s="17" t="s">
        <v>772</v>
      </c>
    </row>
    <row r="15" customFormat="false" ht="15" hidden="false" customHeight="false" outlineLevel="0" collapsed="false">
      <c r="A15" s="15" t="s">
        <v>774</v>
      </c>
      <c r="B15" s="16" t="n">
        <v>6</v>
      </c>
      <c r="C15" s="17" t="s">
        <v>772</v>
      </c>
    </row>
    <row r="16" customFormat="false" ht="15" hidden="false" customHeight="false" outlineLevel="0" collapsed="false">
      <c r="A16" s="15" t="s">
        <v>775</v>
      </c>
      <c r="B16" s="16" t="n">
        <v>40</v>
      </c>
      <c r="C16" s="17" t="s">
        <v>772</v>
      </c>
    </row>
    <row r="17" customFormat="false" ht="15" hidden="false" customHeight="false" outlineLevel="0" collapsed="false">
      <c r="A17" s="15" t="s">
        <v>776</v>
      </c>
      <c r="B17" s="18" t="n">
        <v>0</v>
      </c>
      <c r="C17" s="17" t="s">
        <v>777</v>
      </c>
    </row>
    <row r="18" customFormat="false" ht="15" hidden="false" customHeight="false" outlineLevel="0" collapsed="false">
      <c r="A18" s="15" t="s">
        <v>778</v>
      </c>
      <c r="B18" s="16" t="n">
        <v>0</v>
      </c>
      <c r="C18" s="17" t="s">
        <v>779</v>
      </c>
    </row>
    <row r="19" customFormat="false" ht="15" hidden="false" customHeight="false" outlineLevel="0" collapsed="false">
      <c r="A19" s="13" t="s">
        <v>780</v>
      </c>
      <c r="B19" s="14"/>
      <c r="C19" s="14"/>
    </row>
    <row r="20" customFormat="false" ht="15" hidden="false" customHeight="false" outlineLevel="0" collapsed="false">
      <c r="A20" s="15" t="s">
        <v>781</v>
      </c>
      <c r="B20" s="20" t="n">
        <f aca="false">B11+B12+B13+B14</f>
        <v>500</v>
      </c>
      <c r="C20" s="17"/>
    </row>
    <row r="21" customFormat="false" ht="15" hidden="false" customHeight="false" outlineLevel="0" collapsed="false">
      <c r="A21" s="15" t="s">
        <v>782</v>
      </c>
      <c r="B21" s="20" t="n">
        <f aca="false">IF(B9=1,B3+MAX(0,B10-B4)*B5,IF(B9=2,B6,0))</f>
        <v>0</v>
      </c>
      <c r="C21" s="17" t="s">
        <v>783</v>
      </c>
    </row>
    <row r="22" customFormat="false" ht="15" hidden="false" customHeight="false" outlineLevel="0" collapsed="false">
      <c r="A22" s="15" t="s">
        <v>784</v>
      </c>
      <c r="B22" s="20" t="n">
        <f aca="false">B15*B19</f>
        <v>0</v>
      </c>
      <c r="C22" s="17"/>
    </row>
    <row r="23" customFormat="false" ht="15" hidden="false" customHeight="false" outlineLevel="0" collapsed="false">
      <c r="A23" s="15" t="s">
        <v>785</v>
      </c>
      <c r="B23" s="20" t="n">
        <f aca="false">IF(B15=1,0,B18)</f>
        <v>0</v>
      </c>
      <c r="C23" s="17" t="s">
        <v>786</v>
      </c>
    </row>
    <row r="24" customFormat="false" ht="15" hidden="false" customHeight="false" outlineLevel="0" collapsed="false">
      <c r="A24" s="15" t="s">
        <v>787</v>
      </c>
      <c r="B24" s="20" t="n">
        <f aca="false">B14</f>
        <v>24</v>
      </c>
      <c r="C24" s="17"/>
    </row>
    <row r="25" customFormat="false" ht="15" hidden="false" customHeight="false" outlineLevel="0" collapsed="false">
      <c r="A25" s="15" t="s">
        <v>788</v>
      </c>
      <c r="B25" s="20" t="n">
        <f aca="false">IF(B9=1,B21+B19+B20+B16,0)</f>
        <v>0</v>
      </c>
      <c r="C25" s="17" t="s">
        <v>789</v>
      </c>
    </row>
    <row r="26" customFormat="false" ht="15" hidden="false" customHeight="false" outlineLevel="0" collapsed="false">
      <c r="A26" s="15" t="s">
        <v>790</v>
      </c>
      <c r="B26" s="20" t="n">
        <f aca="false">B19</f>
        <v>0</v>
      </c>
      <c r="C26" s="17"/>
    </row>
    <row r="27" customFormat="false" ht="15" hidden="false" customHeight="false" outlineLevel="0" collapsed="false">
      <c r="A27" s="15" t="s">
        <v>791</v>
      </c>
      <c r="B27" s="20" t="n">
        <f aca="false">IF(B9=1,B21*B7,0)</f>
        <v>0</v>
      </c>
      <c r="C27" s="17" t="s">
        <v>792</v>
      </c>
    </row>
    <row r="28" customFormat="false" ht="15" hidden="false" customHeight="false" outlineLevel="0" collapsed="false">
      <c r="A28" s="15" t="s">
        <v>793</v>
      </c>
      <c r="B28" s="20" t="n">
        <f aca="false">IF(B9=1,B23,IF(B9=2,B19,0))</f>
        <v>0</v>
      </c>
      <c r="C28" s="17" t="s">
        <v>794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0"/>
    <col collapsed="false" customWidth="true" hidden="false" outlineLevel="0" max="3" min="3" style="0" width="50"/>
  </cols>
  <sheetData>
    <row r="1" customFormat="false" ht="17.35" hidden="false" customHeight="false" outlineLevel="0" collapsed="false">
      <c r="A1" s="1" t="s">
        <v>795</v>
      </c>
    </row>
    <row r="2" customFormat="false" ht="15" hidden="false" customHeight="false" outlineLevel="0" collapsed="false">
      <c r="A2" s="2" t="s">
        <v>1</v>
      </c>
    </row>
    <row r="4" customFormat="false" ht="15" hidden="false" customHeight="false" outlineLevel="0" collapsed="false">
      <c r="A4" s="7" t="s">
        <v>796</v>
      </c>
      <c r="B4" s="7" t="s">
        <v>797</v>
      </c>
      <c r="C4" s="7" t="s">
        <v>798</v>
      </c>
    </row>
    <row r="5" customFormat="false" ht="57.45" hidden="false" customHeight="false" outlineLevel="0" collapsed="false">
      <c r="A5" s="9" t="s">
        <v>799</v>
      </c>
      <c r="B5" s="9" t="s">
        <v>800</v>
      </c>
      <c r="C5" s="9" t="s">
        <v>801</v>
      </c>
    </row>
    <row r="6" customFormat="false" ht="35.05" hidden="false" customHeight="false" outlineLevel="0" collapsed="false">
      <c r="A6" s="9" t="s">
        <v>802</v>
      </c>
      <c r="B6" s="9" t="s">
        <v>803</v>
      </c>
      <c r="C6" s="9" t="s">
        <v>804</v>
      </c>
    </row>
    <row r="7" customFormat="false" ht="23.85" hidden="false" customHeight="false" outlineLevel="0" collapsed="false">
      <c r="A7" s="9" t="s">
        <v>805</v>
      </c>
      <c r="B7" s="9" t="s">
        <v>806</v>
      </c>
      <c r="C7" s="9" t="s">
        <v>807</v>
      </c>
    </row>
    <row r="8" customFormat="false" ht="15" hidden="false" customHeight="false" outlineLevel="0" collapsed="false">
      <c r="A8" s="9" t="s">
        <v>808</v>
      </c>
      <c r="B8" s="9" t="s">
        <v>809</v>
      </c>
      <c r="C8" s="9" t="s">
        <v>810</v>
      </c>
    </row>
    <row r="9" customFormat="false" ht="23.85" hidden="false" customHeight="false" outlineLevel="0" collapsed="false">
      <c r="A9" s="9" t="s">
        <v>811</v>
      </c>
      <c r="B9" s="9" t="s">
        <v>812</v>
      </c>
      <c r="C9" s="9" t="s">
        <v>813</v>
      </c>
    </row>
    <row r="11" customFormat="false" ht="31.5" hidden="false" customHeight="true" outlineLevel="0" collapsed="false">
      <c r="A11" s="12" t="s">
        <v>814</v>
      </c>
      <c r="B11" s="12"/>
      <c r="C11" s="12"/>
    </row>
    <row r="12" customFormat="false" ht="31.5" hidden="false" customHeight="true" outlineLevel="0" collapsed="false">
      <c r="A12" s="12" t="s">
        <v>815</v>
      </c>
      <c r="B12" s="12"/>
      <c r="C12" s="12"/>
    </row>
  </sheetData>
  <autoFilter ref="A4:C9"/>
  <mergeCells count="2">
    <mergeCell ref="A11:C11"/>
    <mergeCell ref="A12:C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60"/>
    <col collapsed="false" customWidth="true" hidden="false" outlineLevel="0" max="3" min="3" style="0" width="70"/>
  </cols>
  <sheetData>
    <row r="1" customFormat="false" ht="17.35" hidden="false" customHeight="false" outlineLevel="0" collapsed="false">
      <c r="A1" s="1" t="s">
        <v>816</v>
      </c>
    </row>
    <row r="2" customFormat="false" ht="15" hidden="false" customHeight="false" outlineLevel="0" collapsed="false">
      <c r="A2" s="2" t="s">
        <v>1</v>
      </c>
    </row>
    <row r="4" customFormat="false" ht="15" hidden="false" customHeight="false" outlineLevel="0" collapsed="false">
      <c r="A4" s="7" t="s">
        <v>796</v>
      </c>
      <c r="B4" s="7" t="s">
        <v>797</v>
      </c>
      <c r="C4" s="7" t="s">
        <v>817</v>
      </c>
    </row>
    <row r="5" customFormat="false" ht="23.85" hidden="false" customHeight="false" outlineLevel="0" collapsed="false">
      <c r="A5" s="9" t="s">
        <v>818</v>
      </c>
      <c r="B5" s="9" t="s">
        <v>819</v>
      </c>
      <c r="C5" s="9" t="s">
        <v>820</v>
      </c>
    </row>
    <row r="6" customFormat="false" ht="23.85" hidden="false" customHeight="false" outlineLevel="0" collapsed="false">
      <c r="A6" s="9" t="s">
        <v>821</v>
      </c>
      <c r="B6" s="9" t="s">
        <v>822</v>
      </c>
      <c r="C6" s="9" t="s">
        <v>823</v>
      </c>
    </row>
    <row r="7" customFormat="false" ht="23.85" hidden="false" customHeight="false" outlineLevel="0" collapsed="false">
      <c r="A7" s="9" t="s">
        <v>824</v>
      </c>
      <c r="B7" s="9" t="s">
        <v>825</v>
      </c>
      <c r="C7" s="9" t="s">
        <v>826</v>
      </c>
    </row>
    <row r="8" customFormat="false" ht="15" hidden="false" customHeight="false" outlineLevel="0" collapsed="false">
      <c r="A8" s="9" t="s">
        <v>827</v>
      </c>
      <c r="B8" s="9" t="s">
        <v>828</v>
      </c>
      <c r="C8" s="9" t="s">
        <v>829</v>
      </c>
    </row>
    <row r="9" customFormat="false" ht="23.85" hidden="false" customHeight="false" outlineLevel="0" collapsed="false">
      <c r="A9" s="9" t="s">
        <v>830</v>
      </c>
      <c r="B9" s="9" t="s">
        <v>831</v>
      </c>
      <c r="C9" s="9" t="s">
        <v>832</v>
      </c>
    </row>
    <row r="11" customFormat="false" ht="15" hidden="false" customHeight="false" outlineLevel="0" collapsed="false">
      <c r="A11" s="5" t="s">
        <v>833</v>
      </c>
    </row>
    <row r="12" customFormat="false" ht="31.5" hidden="false" customHeight="true" outlineLevel="0" collapsed="false">
      <c r="A12" s="12" t="s">
        <v>15</v>
      </c>
      <c r="B12" s="12"/>
      <c r="C12" s="12"/>
    </row>
  </sheetData>
  <autoFilter ref="A4:C9"/>
  <mergeCells count="1">
    <mergeCell ref="A12:C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0"/>
    <col collapsed="false" customWidth="true" hidden="false" outlineLevel="0" max="3" min="3" style="0" width="45"/>
  </cols>
  <sheetData>
    <row r="1" customFormat="false" ht="17.35" hidden="false" customHeight="false" outlineLevel="0" collapsed="false">
      <c r="A1" s="1" t="s">
        <v>29</v>
      </c>
    </row>
    <row r="2" customFormat="false" ht="15" hidden="false" customHeight="false" outlineLevel="0" collapsed="false">
      <c r="A2" s="2" t="s">
        <v>1</v>
      </c>
    </row>
    <row r="4" customFormat="false" ht="15" hidden="false" customHeight="false" outlineLevel="0" collapsed="false">
      <c r="A4" s="7" t="s">
        <v>834</v>
      </c>
      <c r="B4" s="7" t="s">
        <v>835</v>
      </c>
      <c r="C4" s="7" t="s">
        <v>836</v>
      </c>
    </row>
    <row r="5" customFormat="false" ht="23.85" hidden="false" customHeight="false" outlineLevel="0" collapsed="false">
      <c r="A5" s="9" t="s">
        <v>837</v>
      </c>
      <c r="B5" s="9" t="s">
        <v>838</v>
      </c>
      <c r="C5" s="9" t="s">
        <v>839</v>
      </c>
    </row>
    <row r="6" customFormat="false" ht="15" hidden="false" customHeight="false" outlineLevel="0" collapsed="false">
      <c r="A6" s="9" t="s">
        <v>840</v>
      </c>
      <c r="B6" s="9" t="s">
        <v>841</v>
      </c>
      <c r="C6" s="9" t="s">
        <v>842</v>
      </c>
    </row>
    <row r="7" customFormat="false" ht="15" hidden="false" customHeight="false" outlineLevel="0" collapsed="false">
      <c r="A7" s="9" t="s">
        <v>843</v>
      </c>
      <c r="B7" s="9" t="s">
        <v>844</v>
      </c>
      <c r="C7" s="9" t="s">
        <v>845</v>
      </c>
    </row>
    <row r="8" customFormat="false" ht="15" hidden="false" customHeight="false" outlineLevel="0" collapsed="false">
      <c r="A8" s="9" t="s">
        <v>846</v>
      </c>
      <c r="B8" s="9" t="s">
        <v>847</v>
      </c>
      <c r="C8" s="9" t="s">
        <v>845</v>
      </c>
    </row>
    <row r="9" customFormat="false" ht="15" hidden="false" customHeight="false" outlineLevel="0" collapsed="false">
      <c r="A9" s="9" t="s">
        <v>848</v>
      </c>
      <c r="B9" s="9" t="s">
        <v>849</v>
      </c>
      <c r="C9" s="9" t="s">
        <v>850</v>
      </c>
    </row>
    <row r="10" customFormat="false" ht="15" hidden="false" customHeight="false" outlineLevel="0" collapsed="false">
      <c r="A10" s="9" t="s">
        <v>851</v>
      </c>
      <c r="B10" s="9" t="s">
        <v>852</v>
      </c>
      <c r="C10" s="9" t="s">
        <v>845</v>
      </c>
    </row>
    <row r="11" customFormat="false" ht="15" hidden="false" customHeight="false" outlineLevel="0" collapsed="false">
      <c r="A11" s="9" t="s">
        <v>853</v>
      </c>
      <c r="B11" s="9" t="s">
        <v>854</v>
      </c>
      <c r="C11" s="9" t="s">
        <v>855</v>
      </c>
    </row>
    <row r="12" customFormat="false" ht="15" hidden="false" customHeight="false" outlineLevel="0" collapsed="false">
      <c r="A12" s="9" t="s">
        <v>856</v>
      </c>
      <c r="B12" s="9" t="s">
        <v>857</v>
      </c>
      <c r="C12" s="9" t="s">
        <v>858</v>
      </c>
    </row>
    <row r="13" customFormat="false" ht="15" hidden="false" customHeight="false" outlineLevel="0" collapsed="false">
      <c r="A13" s="9" t="s">
        <v>859</v>
      </c>
      <c r="B13" s="9" t="s">
        <v>860</v>
      </c>
      <c r="C13" s="9" t="s">
        <v>861</v>
      </c>
    </row>
    <row r="14" customFormat="false" ht="15" hidden="false" customHeight="false" outlineLevel="0" collapsed="false">
      <c r="A14" s="9" t="s">
        <v>862</v>
      </c>
      <c r="B14" s="9" t="s">
        <v>863</v>
      </c>
      <c r="C14" s="9" t="s">
        <v>864</v>
      </c>
    </row>
    <row r="15" customFormat="false" ht="15" hidden="false" customHeight="false" outlineLevel="0" collapsed="false">
      <c r="A15" s="9" t="s">
        <v>865</v>
      </c>
      <c r="B15" s="9" t="s">
        <v>866</v>
      </c>
      <c r="C15" s="9" t="s">
        <v>867</v>
      </c>
    </row>
  </sheetData>
  <autoFilter ref="A4:C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110"/>
  </cols>
  <sheetData>
    <row r="1" customFormat="false" ht="17.35" hidden="false" customHeight="false" outlineLevel="0" collapsed="false">
      <c r="A1" s="1" t="s">
        <v>868</v>
      </c>
    </row>
    <row r="2" customFormat="false" ht="15" hidden="false" customHeight="false" outlineLevel="0" collapsed="false">
      <c r="A2" s="2" t="s">
        <v>1</v>
      </c>
    </row>
    <row r="4" customFormat="false" ht="15" hidden="false" customHeight="false" outlineLevel="0" collapsed="false">
      <c r="A4" s="7" t="s">
        <v>834</v>
      </c>
      <c r="B4" s="7" t="s">
        <v>797</v>
      </c>
      <c r="C4" s="7" t="s">
        <v>869</v>
      </c>
    </row>
    <row r="5" customFormat="false" ht="23.85" hidden="false" customHeight="false" outlineLevel="0" collapsed="false">
      <c r="A5" s="9" t="s">
        <v>870</v>
      </c>
      <c r="B5" s="9" t="s">
        <v>871</v>
      </c>
      <c r="C5" s="9" t="s">
        <v>872</v>
      </c>
    </row>
    <row r="6" customFormat="false" ht="15" hidden="false" customHeight="false" outlineLevel="0" collapsed="false">
      <c r="A6" s="9" t="s">
        <v>873</v>
      </c>
      <c r="B6" s="9" t="s">
        <v>874</v>
      </c>
      <c r="C6" s="9" t="s">
        <v>875</v>
      </c>
    </row>
    <row r="7" customFormat="false" ht="23.85" hidden="false" customHeight="false" outlineLevel="0" collapsed="false">
      <c r="A7" s="9" t="s">
        <v>876</v>
      </c>
      <c r="B7" s="9" t="s">
        <v>877</v>
      </c>
      <c r="C7" s="9" t="s">
        <v>878</v>
      </c>
    </row>
    <row r="8" customFormat="false" ht="15" hidden="false" customHeight="false" outlineLevel="0" collapsed="false">
      <c r="A8" s="9" t="s">
        <v>879</v>
      </c>
      <c r="B8" s="9" t="s">
        <v>880</v>
      </c>
      <c r="C8" s="9" t="s">
        <v>881</v>
      </c>
    </row>
    <row r="9" customFormat="false" ht="15" hidden="false" customHeight="false" outlineLevel="0" collapsed="false">
      <c r="A9" s="9" t="s">
        <v>882</v>
      </c>
      <c r="B9" s="9" t="s">
        <v>883</v>
      </c>
      <c r="C9" s="9" t="s">
        <v>884</v>
      </c>
    </row>
    <row r="10" customFormat="false" ht="15" hidden="false" customHeight="false" outlineLevel="0" collapsed="false">
      <c r="A10" s="9" t="s">
        <v>885</v>
      </c>
      <c r="B10" s="9" t="s">
        <v>886</v>
      </c>
      <c r="C10" s="9" t="s">
        <v>887</v>
      </c>
    </row>
    <row r="11" customFormat="false" ht="15" hidden="false" customHeight="false" outlineLevel="0" collapsed="false">
      <c r="A11" s="9" t="s">
        <v>888</v>
      </c>
      <c r="B11" s="9" t="s">
        <v>889</v>
      </c>
      <c r="C11" s="9" t="s">
        <v>890</v>
      </c>
    </row>
    <row r="12" customFormat="false" ht="15" hidden="false" customHeight="false" outlineLevel="0" collapsed="false">
      <c r="A12" s="9" t="s">
        <v>891</v>
      </c>
      <c r="B12" s="9" t="s">
        <v>892</v>
      </c>
      <c r="C12" s="9" t="s">
        <v>893</v>
      </c>
    </row>
    <row r="13" customFormat="false" ht="23.85" hidden="false" customHeight="false" outlineLevel="0" collapsed="false">
      <c r="A13" s="9" t="s">
        <v>894</v>
      </c>
      <c r="B13" s="9" t="s">
        <v>895</v>
      </c>
      <c r="C13" s="9" t="s">
        <v>896</v>
      </c>
    </row>
    <row r="14" customFormat="false" ht="23.85" hidden="false" customHeight="false" outlineLevel="0" collapsed="false">
      <c r="A14" s="9" t="s">
        <v>897</v>
      </c>
      <c r="B14" s="9" t="s">
        <v>898</v>
      </c>
      <c r="C14" s="9" t="s">
        <v>899</v>
      </c>
    </row>
    <row r="15" customFormat="false" ht="23.85" hidden="false" customHeight="false" outlineLevel="0" collapsed="false">
      <c r="A15" s="9" t="s">
        <v>900</v>
      </c>
      <c r="B15" s="9" t="s">
        <v>901</v>
      </c>
      <c r="C15" s="9" t="s">
        <v>902</v>
      </c>
    </row>
  </sheetData>
  <autoFilter ref="A4:C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80"/>
  </cols>
  <sheetData>
    <row r="1" customFormat="false" ht="17.35" hidden="false" customHeight="false" outlineLevel="0" collapsed="false">
      <c r="A1" s="1" t="s">
        <v>903</v>
      </c>
    </row>
    <row r="2" customFormat="false" ht="15" hidden="false" customHeight="false" outlineLevel="0" collapsed="false">
      <c r="A2" s="2" t="s">
        <v>1</v>
      </c>
    </row>
    <row r="4" customFormat="false" ht="15" hidden="false" customHeight="false" outlineLevel="0" collapsed="false">
      <c r="A4" s="7" t="s">
        <v>904</v>
      </c>
      <c r="B4" s="7" t="s">
        <v>905</v>
      </c>
    </row>
    <row r="5" customFormat="false" ht="15" hidden="false" customHeight="false" outlineLevel="0" collapsed="false">
      <c r="A5" s="9" t="s">
        <v>906</v>
      </c>
      <c r="B5" s="9" t="s">
        <v>907</v>
      </c>
    </row>
    <row r="6" customFormat="false" ht="15" hidden="false" customHeight="false" outlineLevel="0" collapsed="false">
      <c r="A6" s="9" t="s">
        <v>908</v>
      </c>
      <c r="B6" s="9" t="s">
        <v>909</v>
      </c>
    </row>
    <row r="7" customFormat="false" ht="15" hidden="false" customHeight="false" outlineLevel="0" collapsed="false">
      <c r="A7" s="9" t="s">
        <v>910</v>
      </c>
      <c r="B7" s="9" t="s">
        <v>911</v>
      </c>
    </row>
    <row r="8" customFormat="false" ht="23.85" hidden="false" customHeight="false" outlineLevel="0" collapsed="false">
      <c r="A8" s="9" t="s">
        <v>912</v>
      </c>
      <c r="B8" s="9" t="s">
        <v>913</v>
      </c>
    </row>
    <row r="9" customFormat="false" ht="15" hidden="false" customHeight="false" outlineLevel="0" collapsed="false">
      <c r="A9" s="9" t="s">
        <v>914</v>
      </c>
      <c r="B9" s="9" t="s">
        <v>80</v>
      </c>
    </row>
    <row r="10" customFormat="false" ht="23.85" hidden="false" customHeight="false" outlineLevel="0" collapsed="false">
      <c r="A10" s="9" t="s">
        <v>915</v>
      </c>
      <c r="B10" s="9" t="s">
        <v>916</v>
      </c>
    </row>
    <row r="11" customFormat="false" ht="15" hidden="false" customHeight="false" outlineLevel="0" collapsed="false">
      <c r="A11" s="9" t="s">
        <v>917</v>
      </c>
      <c r="B11" s="9" t="s">
        <v>918</v>
      </c>
    </row>
    <row r="12" customFormat="false" ht="15" hidden="false" customHeight="false" outlineLevel="0" collapsed="false">
      <c r="A12" s="9" t="s">
        <v>919</v>
      </c>
      <c r="B12" s="9" t="s">
        <v>920</v>
      </c>
    </row>
    <row r="13" customFormat="false" ht="15" hidden="false" customHeight="false" outlineLevel="0" collapsed="false">
      <c r="A13" s="9" t="s">
        <v>921</v>
      </c>
      <c r="B13" s="9" t="s">
        <v>922</v>
      </c>
    </row>
  </sheetData>
  <autoFilter ref="A4:B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70"/>
  </cols>
  <sheetData>
    <row r="1" customFormat="false" ht="17.35" hidden="false" customHeight="false" outlineLevel="0" collapsed="false">
      <c r="A1" s="1" t="s">
        <v>923</v>
      </c>
    </row>
    <row r="2" customFormat="false" ht="15" hidden="false" customHeight="false" outlineLevel="0" collapsed="false">
      <c r="A2" s="2" t="s">
        <v>1</v>
      </c>
    </row>
    <row r="4" customFormat="false" ht="15" hidden="false" customHeight="false" outlineLevel="0" collapsed="false">
      <c r="A4" s="7" t="s">
        <v>287</v>
      </c>
      <c r="B4" s="7" t="s">
        <v>924</v>
      </c>
      <c r="C4" s="7" t="s">
        <v>925</v>
      </c>
    </row>
    <row r="5" customFormat="false" ht="23.85" hidden="false" customHeight="false" outlineLevel="0" collapsed="false">
      <c r="A5" s="9" t="s">
        <v>926</v>
      </c>
      <c r="B5" s="9" t="s">
        <v>927</v>
      </c>
      <c r="C5" s="9" t="s">
        <v>928</v>
      </c>
    </row>
    <row r="6" customFormat="false" ht="23.85" hidden="false" customHeight="false" outlineLevel="0" collapsed="false">
      <c r="A6" s="11" t="s">
        <v>929</v>
      </c>
      <c r="B6" s="11" t="s">
        <v>930</v>
      </c>
      <c r="C6" s="11" t="s">
        <v>931</v>
      </c>
    </row>
    <row r="7" customFormat="false" ht="35.05" hidden="false" customHeight="false" outlineLevel="0" collapsed="false">
      <c r="A7" s="10" t="s">
        <v>932</v>
      </c>
      <c r="B7" s="10" t="s">
        <v>933</v>
      </c>
      <c r="C7" s="10" t="s">
        <v>934</v>
      </c>
    </row>
    <row r="9" customFormat="false" ht="15" hidden="false" customHeight="false" outlineLevel="0" collapsed="false">
      <c r="A9" s="5" t="s">
        <v>935</v>
      </c>
    </row>
    <row r="10" customFormat="false" ht="45" hidden="false" customHeight="true" outlineLevel="0" collapsed="false">
      <c r="A10" s="12" t="s">
        <v>936</v>
      </c>
      <c r="B10" s="12"/>
      <c r="C10" s="12"/>
    </row>
    <row r="11" customFormat="false" ht="45" hidden="false" customHeight="true" outlineLevel="0" collapsed="false">
      <c r="A11" s="12" t="s">
        <v>937</v>
      </c>
      <c r="B11" s="12"/>
      <c r="C11" s="12"/>
    </row>
    <row r="12" customFormat="false" ht="45" hidden="false" customHeight="true" outlineLevel="0" collapsed="false">
      <c r="A12" s="12" t="s">
        <v>938</v>
      </c>
      <c r="B12" s="12"/>
      <c r="C12" s="12"/>
    </row>
    <row r="13" customFormat="false" ht="45" hidden="false" customHeight="true" outlineLevel="0" collapsed="false">
      <c r="A13" s="12" t="s">
        <v>939</v>
      </c>
      <c r="B13" s="12"/>
      <c r="C13" s="12"/>
    </row>
    <row r="14" customFormat="false" ht="45" hidden="false" customHeight="true" outlineLevel="0" collapsed="false">
      <c r="A14" s="12" t="s">
        <v>940</v>
      </c>
      <c r="B14" s="12"/>
      <c r="C14" s="12"/>
    </row>
    <row r="15" customFormat="false" ht="45" hidden="false" customHeight="true" outlineLevel="0" collapsed="false">
      <c r="A15" s="12" t="s">
        <v>941</v>
      </c>
      <c r="B15" s="12"/>
      <c r="C15" s="12"/>
    </row>
    <row r="16" customFormat="false" ht="45" hidden="false" customHeight="true" outlineLevel="0" collapsed="false">
      <c r="A16" s="12" t="s">
        <v>942</v>
      </c>
      <c r="B16" s="12"/>
      <c r="C16" s="12"/>
    </row>
    <row r="17" customFormat="false" ht="45" hidden="false" customHeight="true" outlineLevel="0" collapsed="false">
      <c r="A17" s="12" t="s">
        <v>943</v>
      </c>
      <c r="B17" s="12"/>
      <c r="C17" s="12"/>
    </row>
    <row r="18" customFormat="false" ht="45" hidden="false" customHeight="true" outlineLevel="0" collapsed="false">
      <c r="A18" s="12" t="s">
        <v>944</v>
      </c>
      <c r="B18" s="12"/>
      <c r="C18" s="12"/>
    </row>
    <row r="19" customFormat="false" ht="45" hidden="false" customHeight="true" outlineLevel="0" collapsed="false">
      <c r="A19" s="12" t="s">
        <v>945</v>
      </c>
      <c r="B19" s="12"/>
      <c r="C19" s="12"/>
    </row>
    <row r="20" customFormat="false" ht="45" hidden="false" customHeight="true" outlineLevel="0" collapsed="false">
      <c r="A20" s="12" t="s">
        <v>946</v>
      </c>
      <c r="B20" s="12"/>
      <c r="C20" s="12"/>
    </row>
    <row r="21" customFormat="false" ht="45" hidden="false" customHeight="true" outlineLevel="0" collapsed="false">
      <c r="A21" s="12" t="s">
        <v>947</v>
      </c>
      <c r="B21" s="12"/>
      <c r="C21" s="12"/>
    </row>
  </sheetData>
  <autoFilter ref="A4:C7"/>
  <mergeCells count="12">
    <mergeCell ref="A10:C10"/>
    <mergeCell ref="A11:C11"/>
    <mergeCell ref="A12:C12"/>
    <mergeCell ref="A13:C13"/>
    <mergeCell ref="A14:C14"/>
    <mergeCell ref="A15:C15"/>
    <mergeCell ref="A16:C16"/>
    <mergeCell ref="A17:C17"/>
    <mergeCell ref="A18:C18"/>
    <mergeCell ref="A19:C19"/>
    <mergeCell ref="A20:C20"/>
    <mergeCell ref="A21:C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7.35" hidden="false" customHeight="false" outlineLevel="0" collapsed="false">
      <c r="A1" s="1" t="s">
        <v>948</v>
      </c>
    </row>
    <row r="3" customFormat="false" ht="15" hidden="false" customHeight="false" outlineLevel="0" collapsed="false">
      <c r="A3" s="4" t="s">
        <v>949</v>
      </c>
    </row>
    <row r="4" customFormat="false" ht="15" hidden="false" customHeight="false" outlineLevel="0" collapsed="false">
      <c r="A4" s="4" t="s">
        <v>950</v>
      </c>
    </row>
    <row r="5" customFormat="false" ht="15" hidden="false" customHeight="false" outlineLevel="0" collapsed="false">
      <c r="A5" s="4" t="s">
        <v>951</v>
      </c>
    </row>
    <row r="6" customFormat="false" ht="15" hidden="false" customHeight="false" outlineLevel="0" collapsed="false">
      <c r="A6" s="4" t="s">
        <v>952</v>
      </c>
    </row>
    <row r="7" customFormat="false" ht="15" hidden="false" customHeight="false" outlineLevel="0" collapsed="false">
      <c r="A7" s="4" t="s">
        <v>953</v>
      </c>
    </row>
    <row r="8" customFormat="false" ht="15" hidden="false" customHeight="false" outlineLevel="0" collapsed="false">
      <c r="A8" s="4" t="s">
        <v>954</v>
      </c>
    </row>
    <row r="9" customFormat="false" ht="15" hidden="false" customHeight="false" outlineLevel="0" collapsed="false">
      <c r="A9" s="4" t="s">
        <v>955</v>
      </c>
    </row>
    <row r="10" customFormat="false" ht="15" hidden="false" customHeight="false" outlineLevel="0" collapsed="false">
      <c r="A10" s="4" t="s">
        <v>956</v>
      </c>
    </row>
    <row r="11" customFormat="false" ht="15" hidden="false" customHeight="false" outlineLevel="0" collapsed="false">
      <c r="A11" s="4" t="s">
        <v>957</v>
      </c>
    </row>
    <row r="12" customFormat="false" ht="23.85" hidden="false" customHeight="false" outlineLevel="0" collapsed="false">
      <c r="A12" s="4" t="s">
        <v>958</v>
      </c>
    </row>
    <row r="13" customFormat="false" ht="15" hidden="false" customHeight="false" outlineLevel="0" collapsed="false">
      <c r="A13" s="4" t="s">
        <v>959</v>
      </c>
    </row>
    <row r="14" customFormat="false" ht="23.85" hidden="false" customHeight="false" outlineLevel="0" collapsed="false">
      <c r="A14" s="4" t="s">
        <v>960</v>
      </c>
    </row>
    <row r="15" customFormat="false" ht="15" hidden="false" customHeight="false" outlineLevel="0" collapsed="false">
      <c r="A15" s="4" t="s">
        <v>961</v>
      </c>
    </row>
    <row r="16" customFormat="false" ht="15" hidden="false" customHeight="false" outlineLevel="0" collapsed="false">
      <c r="A16" s="4" t="s">
        <v>962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22"/>
    <col collapsed="false" customWidth="true" hidden="false" outlineLevel="0" max="3" min="3" style="0" width="60"/>
  </cols>
  <sheetData>
    <row r="1" customFormat="false" ht="17.35" hidden="false" customHeight="false" outlineLevel="0" collapsed="false">
      <c r="A1" s="1" t="s">
        <v>963</v>
      </c>
    </row>
    <row r="2" customFormat="false" ht="15" hidden="false" customHeight="false" outlineLevel="0" collapsed="false">
      <c r="A2" s="2" t="s">
        <v>1</v>
      </c>
    </row>
    <row r="4" customFormat="false" ht="15" hidden="false" customHeight="false" outlineLevel="0" collapsed="false">
      <c r="A4" s="7" t="s">
        <v>964</v>
      </c>
      <c r="B4" s="7" t="s">
        <v>965</v>
      </c>
      <c r="C4" s="7" t="s">
        <v>288</v>
      </c>
    </row>
    <row r="5" customFormat="false" ht="15" hidden="false" customHeight="false" outlineLevel="0" collapsed="false">
      <c r="A5" s="9" t="s">
        <v>966</v>
      </c>
      <c r="B5" s="9" t="s">
        <v>967</v>
      </c>
      <c r="C5" s="9" t="s">
        <v>968</v>
      </c>
    </row>
    <row r="6" customFormat="false" ht="15" hidden="false" customHeight="false" outlineLevel="0" collapsed="false">
      <c r="A6" s="9" t="s">
        <v>969</v>
      </c>
      <c r="B6" s="9" t="s">
        <v>967</v>
      </c>
      <c r="C6" s="9" t="s">
        <v>970</v>
      </c>
    </row>
    <row r="7" customFormat="false" ht="15" hidden="false" customHeight="false" outlineLevel="0" collapsed="false">
      <c r="A7" s="9" t="s">
        <v>971</v>
      </c>
      <c r="B7" s="9" t="s">
        <v>967</v>
      </c>
      <c r="C7" s="9" t="s">
        <v>972</v>
      </c>
    </row>
    <row r="8" customFormat="false" ht="15" hidden="false" customHeight="false" outlineLevel="0" collapsed="false">
      <c r="A8" s="9" t="s">
        <v>973</v>
      </c>
      <c r="B8" s="9" t="s">
        <v>967</v>
      </c>
      <c r="C8" s="9" t="s">
        <v>974</v>
      </c>
    </row>
    <row r="9" customFormat="false" ht="15" hidden="false" customHeight="false" outlineLevel="0" collapsed="false">
      <c r="A9" s="9" t="s">
        <v>975</v>
      </c>
      <c r="B9" s="9" t="s">
        <v>967</v>
      </c>
      <c r="C9" s="9" t="s">
        <v>976</v>
      </c>
    </row>
    <row r="10" customFormat="false" ht="15" hidden="false" customHeight="false" outlineLevel="0" collapsed="false">
      <c r="A10" s="9" t="s">
        <v>977</v>
      </c>
      <c r="B10" s="9" t="s">
        <v>967</v>
      </c>
      <c r="C10" s="9" t="s">
        <v>976</v>
      </c>
    </row>
    <row r="11" customFormat="false" ht="15" hidden="false" customHeight="false" outlineLevel="0" collapsed="false">
      <c r="A11" s="9" t="s">
        <v>978</v>
      </c>
      <c r="B11" s="9" t="s">
        <v>979</v>
      </c>
      <c r="C11" s="9" t="s">
        <v>980</v>
      </c>
    </row>
    <row r="12" customFormat="false" ht="15" hidden="false" customHeight="false" outlineLevel="0" collapsed="false">
      <c r="A12" s="9" t="s">
        <v>981</v>
      </c>
      <c r="B12" s="9" t="s">
        <v>979</v>
      </c>
      <c r="C12" s="9" t="s">
        <v>982</v>
      </c>
    </row>
    <row r="13" customFormat="false" ht="15" hidden="false" customHeight="false" outlineLevel="0" collapsed="false">
      <c r="A13" s="9" t="s">
        <v>983</v>
      </c>
      <c r="B13" s="9" t="s">
        <v>979</v>
      </c>
      <c r="C13" s="9" t="s">
        <v>984</v>
      </c>
    </row>
    <row r="14" customFormat="false" ht="15" hidden="false" customHeight="false" outlineLevel="0" collapsed="false">
      <c r="A14" s="9" t="s">
        <v>985</v>
      </c>
      <c r="B14" s="9" t="s">
        <v>986</v>
      </c>
      <c r="C14" s="9" t="s">
        <v>987</v>
      </c>
    </row>
    <row r="15" customFormat="false" ht="15" hidden="false" customHeight="false" outlineLevel="0" collapsed="false">
      <c r="A15" s="9" t="s">
        <v>988</v>
      </c>
      <c r="B15" s="9" t="s">
        <v>986</v>
      </c>
      <c r="C15" s="9" t="s">
        <v>989</v>
      </c>
    </row>
    <row r="16" customFormat="false" ht="15" hidden="false" customHeight="false" outlineLevel="0" collapsed="false">
      <c r="A16" s="9" t="s">
        <v>990</v>
      </c>
      <c r="B16" s="9" t="s">
        <v>986</v>
      </c>
      <c r="C16" s="9" t="s">
        <v>991</v>
      </c>
    </row>
    <row r="17" customFormat="false" ht="15" hidden="false" customHeight="false" outlineLevel="0" collapsed="false">
      <c r="A17" s="9" t="s">
        <v>992</v>
      </c>
      <c r="B17" s="9" t="s">
        <v>993</v>
      </c>
      <c r="C17" s="9" t="s">
        <v>994</v>
      </c>
    </row>
    <row r="18" customFormat="false" ht="15" hidden="false" customHeight="false" outlineLevel="0" collapsed="false">
      <c r="A18" s="9" t="s">
        <v>995</v>
      </c>
      <c r="B18" s="9" t="s">
        <v>967</v>
      </c>
      <c r="C18" s="9" t="s">
        <v>996</v>
      </c>
    </row>
    <row r="19" customFormat="false" ht="15" hidden="false" customHeight="false" outlineLevel="0" collapsed="false">
      <c r="A19" s="9" t="s">
        <v>997</v>
      </c>
      <c r="B19" s="9" t="s">
        <v>998</v>
      </c>
      <c r="C19" s="9" t="s">
        <v>999</v>
      </c>
    </row>
    <row r="20" customFormat="false" ht="15" hidden="false" customHeight="false" outlineLevel="0" collapsed="false">
      <c r="A20" s="9" t="s">
        <v>1000</v>
      </c>
      <c r="B20" s="9" t="s">
        <v>967</v>
      </c>
      <c r="C20" s="9" t="s">
        <v>1001</v>
      </c>
    </row>
    <row r="21" customFormat="false" ht="15" hidden="false" customHeight="false" outlineLevel="0" collapsed="false">
      <c r="A21" s="9" t="s">
        <v>1002</v>
      </c>
      <c r="B21" s="9" t="s">
        <v>1003</v>
      </c>
      <c r="C21" s="9" t="s">
        <v>1004</v>
      </c>
    </row>
  </sheetData>
  <autoFilter ref="A4:C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1"/>
    <col collapsed="false" customWidth="true" hidden="false" outlineLevel="0" max="3" min="3" style="0" width="55"/>
    <col collapsed="false" customWidth="true" hidden="false" outlineLevel="0" max="4" min="4" style="0" width="28"/>
    <col collapsed="false" customWidth="true" hidden="false" outlineLevel="0" max="5" min="5" style="0" width="24"/>
  </cols>
  <sheetData>
    <row r="1" customFormat="false" ht="17.35" hidden="false" customHeight="false" outlineLevel="0" collapsed="false">
      <c r="A1" s="1" t="s">
        <v>1005</v>
      </c>
    </row>
    <row r="2" customFormat="false" ht="15" hidden="false" customHeight="false" outlineLevel="0" collapsed="false">
      <c r="A2" s="2" t="s">
        <v>1006</v>
      </c>
    </row>
    <row r="4" customFormat="false" ht="23.85" hidden="false" customHeight="false" outlineLevel="0" collapsed="false">
      <c r="A4" s="7" t="s">
        <v>294</v>
      </c>
      <c r="B4" s="7" t="s">
        <v>1007</v>
      </c>
      <c r="C4" s="7" t="s">
        <v>286</v>
      </c>
      <c r="D4" s="7" t="s">
        <v>285</v>
      </c>
      <c r="E4" s="7" t="s">
        <v>287</v>
      </c>
    </row>
    <row r="5" customFormat="false" ht="15" hidden="false" customHeight="false" outlineLevel="0" collapsed="false">
      <c r="A5" s="9" t="s">
        <v>306</v>
      </c>
      <c r="B5" s="9" t="s">
        <v>54</v>
      </c>
      <c r="C5" s="9" t="s">
        <v>298</v>
      </c>
      <c r="D5" s="9" t="s">
        <v>297</v>
      </c>
      <c r="E5" s="9"/>
    </row>
    <row r="6" customFormat="false" ht="15" hidden="false" customHeight="false" outlineLevel="0" collapsed="false">
      <c r="A6" s="9" t="s">
        <v>315</v>
      </c>
      <c r="B6" s="9" t="s">
        <v>58</v>
      </c>
      <c r="C6" s="9" t="s">
        <v>307</v>
      </c>
      <c r="D6" s="9" t="s">
        <v>297</v>
      </c>
      <c r="E6" s="9"/>
    </row>
    <row r="7" customFormat="false" ht="15" hidden="false" customHeight="false" outlineLevel="0" collapsed="false">
      <c r="A7" s="9" t="s">
        <v>324</v>
      </c>
      <c r="B7" s="9" t="s">
        <v>62</v>
      </c>
      <c r="C7" s="9" t="s">
        <v>316</v>
      </c>
      <c r="D7" s="9" t="s">
        <v>297</v>
      </c>
      <c r="E7" s="9"/>
    </row>
    <row r="8" customFormat="false" ht="15" hidden="false" customHeight="false" outlineLevel="0" collapsed="false">
      <c r="A8" s="9" t="s">
        <v>332</v>
      </c>
      <c r="B8" s="9" t="s">
        <v>66</v>
      </c>
      <c r="C8" s="9" t="s">
        <v>325</v>
      </c>
      <c r="D8" s="9" t="s">
        <v>297</v>
      </c>
      <c r="E8" s="9"/>
    </row>
    <row r="9" customFormat="false" ht="15" hidden="false" customHeight="false" outlineLevel="0" collapsed="false">
      <c r="A9" s="9" t="s">
        <v>341</v>
      </c>
      <c r="B9" s="9" t="s">
        <v>69</v>
      </c>
      <c r="C9" s="9" t="s">
        <v>333</v>
      </c>
      <c r="D9" s="9" t="s">
        <v>297</v>
      </c>
      <c r="E9" s="9"/>
    </row>
    <row r="10" customFormat="false" ht="15" hidden="false" customHeight="false" outlineLevel="0" collapsed="false">
      <c r="A10" s="9" t="s">
        <v>348</v>
      </c>
      <c r="B10" s="9" t="s">
        <v>72</v>
      </c>
      <c r="C10" s="9" t="s">
        <v>73</v>
      </c>
      <c r="D10" s="9" t="s">
        <v>297</v>
      </c>
      <c r="E10" s="9"/>
    </row>
    <row r="11" customFormat="false" ht="15" hidden="false" customHeight="false" outlineLevel="0" collapsed="false">
      <c r="A11" s="9" t="s">
        <v>355</v>
      </c>
      <c r="B11" s="9" t="s">
        <v>75</v>
      </c>
      <c r="C11" s="9" t="s">
        <v>76</v>
      </c>
      <c r="D11" s="9" t="s">
        <v>297</v>
      </c>
      <c r="E11" s="9"/>
    </row>
    <row r="12" customFormat="false" ht="15" hidden="false" customHeight="false" outlineLevel="0" collapsed="false">
      <c r="A12" s="9" t="s">
        <v>362</v>
      </c>
      <c r="B12" s="9" t="s">
        <v>78</v>
      </c>
      <c r="C12" s="9" t="s">
        <v>356</v>
      </c>
      <c r="D12" s="9" t="s">
        <v>297</v>
      </c>
      <c r="E12" s="9"/>
    </row>
    <row r="13" customFormat="false" ht="15" hidden="false" customHeight="false" outlineLevel="0" collapsed="false">
      <c r="A13" s="9" t="s">
        <v>371</v>
      </c>
      <c r="B13" s="9" t="s">
        <v>82</v>
      </c>
      <c r="C13" s="9" t="s">
        <v>363</v>
      </c>
      <c r="D13" s="9" t="s">
        <v>297</v>
      </c>
      <c r="E13" s="9"/>
    </row>
    <row r="14" customFormat="false" ht="15" hidden="false" customHeight="false" outlineLevel="0" collapsed="false">
      <c r="A14" s="9" t="s">
        <v>379</v>
      </c>
      <c r="B14" s="9" t="s">
        <v>85</v>
      </c>
      <c r="C14" s="9" t="s">
        <v>372</v>
      </c>
      <c r="D14" s="9" t="s">
        <v>297</v>
      </c>
      <c r="E14" s="9"/>
    </row>
    <row r="15" customFormat="false" ht="15" hidden="false" customHeight="false" outlineLevel="0" collapsed="false">
      <c r="A15" s="9" t="s">
        <v>386</v>
      </c>
      <c r="B15" s="9" t="s">
        <v>88</v>
      </c>
      <c r="C15" s="9" t="s">
        <v>380</v>
      </c>
      <c r="D15" s="9" t="s">
        <v>297</v>
      </c>
      <c r="E15" s="9"/>
    </row>
    <row r="16" customFormat="false" ht="15" hidden="false" customHeight="false" outlineLevel="0" collapsed="false">
      <c r="A16" s="9" t="s">
        <v>394</v>
      </c>
      <c r="B16" s="9" t="s">
        <v>91</v>
      </c>
      <c r="C16" s="9" t="s">
        <v>92</v>
      </c>
      <c r="D16" s="9" t="s">
        <v>297</v>
      </c>
      <c r="E16" s="9"/>
    </row>
    <row r="17" customFormat="false" ht="15" hidden="false" customHeight="false" outlineLevel="0" collapsed="false">
      <c r="A17" s="9" t="s">
        <v>401</v>
      </c>
      <c r="B17" s="9" t="s">
        <v>94</v>
      </c>
      <c r="C17" s="9" t="s">
        <v>395</v>
      </c>
      <c r="D17" s="9" t="s">
        <v>297</v>
      </c>
      <c r="E17" s="9"/>
    </row>
    <row r="18" customFormat="false" ht="23.85" hidden="false" customHeight="false" outlineLevel="0" collapsed="false">
      <c r="A18" s="9" t="s">
        <v>408</v>
      </c>
      <c r="B18" s="9" t="s">
        <v>98</v>
      </c>
      <c r="C18" s="9" t="s">
        <v>402</v>
      </c>
      <c r="D18" s="9" t="s">
        <v>297</v>
      </c>
      <c r="E18" s="9"/>
    </row>
    <row r="19" customFormat="false" ht="15" hidden="false" customHeight="false" outlineLevel="0" collapsed="false">
      <c r="A19" s="9" t="s">
        <v>415</v>
      </c>
      <c r="B19" s="9" t="s">
        <v>101</v>
      </c>
      <c r="C19" s="9" t="s">
        <v>409</v>
      </c>
      <c r="D19" s="9" t="s">
        <v>297</v>
      </c>
      <c r="E19" s="9"/>
    </row>
    <row r="20" customFormat="false" ht="15" hidden="false" customHeight="false" outlineLevel="0" collapsed="false">
      <c r="A20" s="9" t="s">
        <v>424</v>
      </c>
      <c r="B20" s="9" t="s">
        <v>105</v>
      </c>
      <c r="C20" s="9" t="s">
        <v>417</v>
      </c>
      <c r="D20" s="9" t="s">
        <v>297</v>
      </c>
      <c r="E20" s="9"/>
    </row>
    <row r="21" customFormat="false" ht="15" hidden="false" customHeight="false" outlineLevel="0" collapsed="false">
      <c r="A21" s="9" t="s">
        <v>429</v>
      </c>
      <c r="B21" s="9" t="s">
        <v>108</v>
      </c>
      <c r="C21" s="9" t="s">
        <v>109</v>
      </c>
      <c r="D21" s="9" t="s">
        <v>297</v>
      </c>
      <c r="E21" s="9"/>
    </row>
    <row r="22" customFormat="false" ht="15" hidden="false" customHeight="false" outlineLevel="0" collapsed="false">
      <c r="A22" s="9" t="s">
        <v>436</v>
      </c>
      <c r="B22" s="9" t="s">
        <v>111</v>
      </c>
      <c r="C22" s="9" t="s">
        <v>112</v>
      </c>
      <c r="D22" s="9" t="s">
        <v>297</v>
      </c>
      <c r="E22" s="9"/>
    </row>
    <row r="23" customFormat="false" ht="15" hidden="false" customHeight="false" outlineLevel="0" collapsed="false">
      <c r="A23" s="9" t="s">
        <v>442</v>
      </c>
      <c r="B23" s="9" t="s">
        <v>113</v>
      </c>
      <c r="C23" s="9" t="s">
        <v>114</v>
      </c>
      <c r="D23" s="9" t="s">
        <v>297</v>
      </c>
      <c r="E23" s="9"/>
    </row>
    <row r="24" customFormat="false" ht="15" hidden="false" customHeight="false" outlineLevel="0" collapsed="false">
      <c r="A24" s="9" t="s">
        <v>448</v>
      </c>
      <c r="B24" s="9" t="s">
        <v>115</v>
      </c>
      <c r="C24" s="9" t="s">
        <v>116</v>
      </c>
      <c r="D24" s="9" t="s">
        <v>297</v>
      </c>
      <c r="E24" s="9"/>
    </row>
    <row r="25" customFormat="false" ht="23.85" hidden="false" customHeight="false" outlineLevel="0" collapsed="false">
      <c r="A25" s="9" t="s">
        <v>455</v>
      </c>
      <c r="B25" s="9" t="s">
        <v>117</v>
      </c>
      <c r="C25" s="9" t="s">
        <v>449</v>
      </c>
      <c r="D25" s="9" t="s">
        <v>297</v>
      </c>
      <c r="E25" s="9"/>
    </row>
    <row r="26" customFormat="false" ht="15" hidden="false" customHeight="false" outlineLevel="0" collapsed="false">
      <c r="A26" s="9" t="s">
        <v>461</v>
      </c>
      <c r="B26" s="9" t="s">
        <v>121</v>
      </c>
      <c r="C26" s="9" t="s">
        <v>122</v>
      </c>
      <c r="D26" s="9" t="s">
        <v>297</v>
      </c>
      <c r="E26" s="9"/>
    </row>
    <row r="27" customFormat="false" ht="15" hidden="false" customHeight="false" outlineLevel="0" collapsed="false">
      <c r="A27" s="9" t="s">
        <v>466</v>
      </c>
      <c r="B27" s="9" t="s">
        <v>123</v>
      </c>
      <c r="C27" s="9" t="s">
        <v>124</v>
      </c>
      <c r="D27" s="9" t="s">
        <v>297</v>
      </c>
      <c r="E27" s="9"/>
    </row>
    <row r="28" customFormat="false" ht="15" hidden="false" customHeight="false" outlineLevel="0" collapsed="false">
      <c r="A28" s="9" t="s">
        <v>472</v>
      </c>
      <c r="B28" s="9" t="s">
        <v>125</v>
      </c>
      <c r="C28" s="9" t="s">
        <v>126</v>
      </c>
      <c r="D28" s="9" t="s">
        <v>297</v>
      </c>
      <c r="E28" s="9"/>
    </row>
    <row r="29" customFormat="false" ht="15" hidden="false" customHeight="false" outlineLevel="0" collapsed="false">
      <c r="A29" s="9" t="s">
        <v>477</v>
      </c>
      <c r="B29" s="9" t="s">
        <v>128</v>
      </c>
      <c r="C29" s="9" t="s">
        <v>129</v>
      </c>
      <c r="D29" s="9" t="s">
        <v>297</v>
      </c>
      <c r="E29" s="9"/>
    </row>
    <row r="30" customFormat="false" ht="15" hidden="false" customHeight="false" outlineLevel="0" collapsed="false">
      <c r="A30" s="9" t="s">
        <v>483</v>
      </c>
      <c r="B30" s="9" t="s">
        <v>131</v>
      </c>
      <c r="C30" s="9" t="s">
        <v>132</v>
      </c>
      <c r="D30" s="9" t="s">
        <v>297</v>
      </c>
      <c r="E30" s="9"/>
    </row>
    <row r="31" customFormat="false" ht="15" hidden="false" customHeight="false" outlineLevel="0" collapsed="false">
      <c r="A31" s="9" t="s">
        <v>490</v>
      </c>
      <c r="B31" s="9" t="s">
        <v>134</v>
      </c>
      <c r="C31" s="9" t="s">
        <v>485</v>
      </c>
      <c r="D31" s="9" t="s">
        <v>297</v>
      </c>
      <c r="E31" s="9"/>
    </row>
    <row r="32" customFormat="false" ht="15" hidden="false" customHeight="false" outlineLevel="0" collapsed="false">
      <c r="A32" s="9" t="s">
        <v>496</v>
      </c>
      <c r="B32" s="9" t="s">
        <v>137</v>
      </c>
      <c r="C32" s="9" t="s">
        <v>138</v>
      </c>
      <c r="D32" s="9" t="s">
        <v>297</v>
      </c>
      <c r="E32" s="9"/>
    </row>
    <row r="33" customFormat="false" ht="15" hidden="false" customHeight="false" outlineLevel="0" collapsed="false">
      <c r="A33" s="9" t="s">
        <v>500</v>
      </c>
      <c r="B33" s="9" t="s">
        <v>139</v>
      </c>
      <c r="C33" s="9" t="s">
        <v>140</v>
      </c>
      <c r="D33" s="9" t="s">
        <v>297</v>
      </c>
      <c r="E33" s="9"/>
    </row>
    <row r="34" customFormat="false" ht="23.85" hidden="false" customHeight="false" outlineLevel="0" collapsed="false">
      <c r="A34" s="9" t="s">
        <v>506</v>
      </c>
      <c r="B34" s="9" t="s">
        <v>142</v>
      </c>
      <c r="C34" s="9" t="s">
        <v>143</v>
      </c>
      <c r="D34" s="9" t="s">
        <v>297</v>
      </c>
      <c r="E34" s="9"/>
    </row>
    <row r="35" customFormat="false" ht="15" hidden="false" customHeight="false" outlineLevel="0" collapsed="false">
      <c r="A35" s="9" t="s">
        <v>512</v>
      </c>
      <c r="B35" s="9" t="s">
        <v>146</v>
      </c>
      <c r="C35" s="9" t="s">
        <v>147</v>
      </c>
      <c r="D35" s="9" t="s">
        <v>297</v>
      </c>
      <c r="E35" s="9"/>
    </row>
    <row r="36" customFormat="false" ht="15" hidden="false" customHeight="false" outlineLevel="0" collapsed="false">
      <c r="A36" s="9" t="s">
        <v>527</v>
      </c>
      <c r="B36" s="9" t="s">
        <v>158</v>
      </c>
      <c r="C36" s="9" t="s">
        <v>159</v>
      </c>
      <c r="D36" s="9" t="s">
        <v>297</v>
      </c>
      <c r="E36" s="9"/>
    </row>
    <row r="37" customFormat="false" ht="23.85" hidden="false" customHeight="false" outlineLevel="0" collapsed="false">
      <c r="A37" s="9" t="s">
        <v>534</v>
      </c>
      <c r="B37" s="9" t="s">
        <v>162</v>
      </c>
      <c r="C37" s="9" t="s">
        <v>528</v>
      </c>
      <c r="D37" s="9" t="s">
        <v>297</v>
      </c>
      <c r="E37" s="9"/>
    </row>
    <row r="38" customFormat="false" ht="15" hidden="false" customHeight="false" outlineLevel="0" collapsed="false">
      <c r="A38" s="9" t="s">
        <v>541</v>
      </c>
      <c r="B38" s="9" t="s">
        <v>165</v>
      </c>
      <c r="C38" s="9" t="s">
        <v>535</v>
      </c>
      <c r="D38" s="9" t="s">
        <v>297</v>
      </c>
      <c r="E38" s="9"/>
    </row>
    <row r="39" customFormat="false" ht="15" hidden="false" customHeight="false" outlineLevel="0" collapsed="false">
      <c r="A39" s="9" t="s">
        <v>546</v>
      </c>
      <c r="B39" s="9" t="s">
        <v>169</v>
      </c>
      <c r="C39" s="9" t="s">
        <v>170</v>
      </c>
      <c r="D39" s="9" t="s">
        <v>297</v>
      </c>
      <c r="E39" s="9"/>
    </row>
    <row r="40" customFormat="false" ht="15" hidden="false" customHeight="false" outlineLevel="0" collapsed="false">
      <c r="A40" s="9" t="s">
        <v>555</v>
      </c>
      <c r="B40" s="9" t="s">
        <v>174</v>
      </c>
      <c r="C40" s="9" t="s">
        <v>549</v>
      </c>
      <c r="D40" s="9" t="s">
        <v>548</v>
      </c>
      <c r="E40" s="9"/>
    </row>
    <row r="41" customFormat="false" ht="15" hidden="false" customHeight="false" outlineLevel="0" collapsed="false">
      <c r="A41" s="9" t="s">
        <v>562</v>
      </c>
      <c r="B41" s="9" t="s">
        <v>178</v>
      </c>
      <c r="C41" s="9" t="s">
        <v>556</v>
      </c>
      <c r="D41" s="9" t="s">
        <v>548</v>
      </c>
      <c r="E41" s="9"/>
    </row>
    <row r="42" customFormat="false" ht="15" hidden="false" customHeight="false" outlineLevel="0" collapsed="false">
      <c r="A42" s="9" t="s">
        <v>569</v>
      </c>
      <c r="B42" s="9" t="s">
        <v>182</v>
      </c>
      <c r="C42" s="9" t="s">
        <v>563</v>
      </c>
      <c r="D42" s="9" t="s">
        <v>548</v>
      </c>
      <c r="E42" s="9"/>
    </row>
    <row r="43" customFormat="false" ht="15" hidden="false" customHeight="false" outlineLevel="0" collapsed="false">
      <c r="A43" s="9" t="s">
        <v>586</v>
      </c>
      <c r="B43" s="9" t="s">
        <v>197</v>
      </c>
      <c r="C43" s="9" t="s">
        <v>582</v>
      </c>
      <c r="D43" s="9" t="s">
        <v>548</v>
      </c>
      <c r="E43" s="9"/>
    </row>
    <row r="44" customFormat="false" ht="23.85" hidden="false" customHeight="false" outlineLevel="0" collapsed="false">
      <c r="A44" s="9" t="s">
        <v>594</v>
      </c>
      <c r="B44" s="9" t="s">
        <v>205</v>
      </c>
      <c r="C44" s="9" t="s">
        <v>589</v>
      </c>
      <c r="D44" s="9" t="s">
        <v>588</v>
      </c>
      <c r="E44" s="9"/>
    </row>
    <row r="45" customFormat="false" ht="15" hidden="false" customHeight="false" outlineLevel="0" collapsed="false">
      <c r="A45" s="9" t="s">
        <v>599</v>
      </c>
      <c r="B45" s="9" t="s">
        <v>209</v>
      </c>
      <c r="C45" s="9" t="s">
        <v>210</v>
      </c>
      <c r="D45" s="9" t="s">
        <v>588</v>
      </c>
      <c r="E45" s="9"/>
    </row>
    <row r="46" customFormat="false" ht="23.85" hidden="false" customHeight="false" outlineLevel="0" collapsed="false">
      <c r="A46" s="9" t="s">
        <v>627</v>
      </c>
      <c r="B46" s="9" t="s">
        <v>230</v>
      </c>
      <c r="C46" s="9" t="s">
        <v>620</v>
      </c>
      <c r="D46" s="9" t="s">
        <v>619</v>
      </c>
      <c r="E46" s="9" t="s">
        <v>621</v>
      </c>
    </row>
    <row r="47" customFormat="false" ht="15" hidden="false" customHeight="false" outlineLevel="0" collapsed="false">
      <c r="A47" s="9" t="s">
        <v>634</v>
      </c>
      <c r="B47" s="9" t="s">
        <v>235</v>
      </c>
      <c r="C47" s="9" t="s">
        <v>628</v>
      </c>
      <c r="D47" s="9" t="s">
        <v>619</v>
      </c>
      <c r="E47" s="9" t="s">
        <v>629</v>
      </c>
    </row>
    <row r="48" customFormat="false" ht="23.85" hidden="false" customHeight="false" outlineLevel="0" collapsed="false">
      <c r="A48" s="9" t="s">
        <v>642</v>
      </c>
      <c r="B48" s="9" t="s">
        <v>239</v>
      </c>
      <c r="C48" s="9" t="s">
        <v>635</v>
      </c>
      <c r="D48" s="9" t="s">
        <v>619</v>
      </c>
      <c r="E48" s="9" t="s">
        <v>636</v>
      </c>
    </row>
    <row r="49" customFormat="false" ht="23.85" hidden="false" customHeight="false" outlineLevel="0" collapsed="false">
      <c r="A49" s="9" t="s">
        <v>649</v>
      </c>
      <c r="B49" s="9" t="s">
        <v>243</v>
      </c>
      <c r="C49" s="9" t="s">
        <v>643</v>
      </c>
      <c r="D49" s="9" t="s">
        <v>619</v>
      </c>
      <c r="E49" s="9" t="s">
        <v>644</v>
      </c>
    </row>
    <row r="50" customFormat="false" ht="46.25" hidden="false" customHeight="false" outlineLevel="0" collapsed="false">
      <c r="A50" s="9" t="s">
        <v>655</v>
      </c>
      <c r="B50" s="9" t="s">
        <v>246</v>
      </c>
      <c r="C50" s="9" t="s">
        <v>650</v>
      </c>
      <c r="D50" s="9" t="s">
        <v>619</v>
      </c>
      <c r="E50" s="9" t="s">
        <v>651</v>
      </c>
    </row>
    <row r="51" customFormat="false" ht="15" hidden="false" customHeight="false" outlineLevel="0" collapsed="false">
      <c r="A51" s="9" t="s">
        <v>661</v>
      </c>
      <c r="B51" s="9" t="s">
        <v>249</v>
      </c>
      <c r="C51" s="9" t="s">
        <v>250</v>
      </c>
      <c r="D51" s="9" t="s">
        <v>619</v>
      </c>
      <c r="E51" s="9" t="s">
        <v>656</v>
      </c>
    </row>
    <row r="52" customFormat="false" ht="15" hidden="false" customHeight="false" outlineLevel="0" collapsed="false">
      <c r="A52" s="9" t="s">
        <v>666</v>
      </c>
      <c r="B52" s="9" t="s">
        <v>252</v>
      </c>
      <c r="C52" s="9" t="s">
        <v>253</v>
      </c>
      <c r="D52" s="9" t="s">
        <v>619</v>
      </c>
      <c r="E52" s="9" t="s">
        <v>656</v>
      </c>
    </row>
    <row r="53" customFormat="false" ht="15" hidden="false" customHeight="false" outlineLevel="0" collapsed="false">
      <c r="A53" s="9" t="s">
        <v>672</v>
      </c>
      <c r="B53" s="9" t="s">
        <v>255</v>
      </c>
      <c r="C53" s="9" t="s">
        <v>667</v>
      </c>
      <c r="D53" s="9" t="s">
        <v>619</v>
      </c>
      <c r="E53" s="9" t="s">
        <v>656</v>
      </c>
    </row>
    <row r="54" customFormat="false" ht="15" hidden="false" customHeight="false" outlineLevel="0" collapsed="false">
      <c r="A54" s="9" t="s">
        <v>680</v>
      </c>
      <c r="B54" s="9" t="s">
        <v>257</v>
      </c>
      <c r="C54" s="9" t="s">
        <v>673</v>
      </c>
      <c r="D54" s="9" t="s">
        <v>619</v>
      </c>
      <c r="E54" s="9" t="s">
        <v>674</v>
      </c>
    </row>
    <row r="55" customFormat="false" ht="15" hidden="false" customHeight="false" outlineLevel="0" collapsed="false">
      <c r="A55" s="9" t="s">
        <v>687</v>
      </c>
      <c r="B55" s="9" t="s">
        <v>260</v>
      </c>
      <c r="C55" s="9" t="s">
        <v>681</v>
      </c>
      <c r="D55" s="9" t="s">
        <v>619</v>
      </c>
      <c r="E55" s="9" t="s">
        <v>682</v>
      </c>
    </row>
    <row r="56" customFormat="false" ht="15" hidden="false" customHeight="false" outlineLevel="0" collapsed="false">
      <c r="A56" s="9" t="s">
        <v>694</v>
      </c>
      <c r="B56" s="9" t="s">
        <v>262</v>
      </c>
      <c r="C56" s="9" t="s">
        <v>688</v>
      </c>
      <c r="D56" s="9" t="s">
        <v>619</v>
      </c>
      <c r="E56" s="9" t="s">
        <v>689</v>
      </c>
    </row>
    <row r="57" customFormat="false" ht="15" hidden="false" customHeight="false" outlineLevel="0" collapsed="false">
      <c r="A57" s="9" t="s">
        <v>700</v>
      </c>
      <c r="B57" s="9" t="s">
        <v>265</v>
      </c>
      <c r="C57" s="9" t="s">
        <v>266</v>
      </c>
      <c r="D57" s="9" t="s">
        <v>619</v>
      </c>
      <c r="E57" s="9" t="s">
        <v>695</v>
      </c>
    </row>
    <row r="58" customFormat="false" ht="15" hidden="false" customHeight="false" outlineLevel="0" collapsed="false">
      <c r="A58" s="9" t="s">
        <v>707</v>
      </c>
      <c r="B58" s="9" t="s">
        <v>268</v>
      </c>
      <c r="C58" s="9" t="s">
        <v>701</v>
      </c>
      <c r="D58" s="9" t="s">
        <v>619</v>
      </c>
      <c r="E58" s="9" t="s">
        <v>656</v>
      </c>
    </row>
    <row r="59" customFormat="false" ht="15" hidden="false" customHeight="false" outlineLevel="0" collapsed="false">
      <c r="A59" s="9" t="s">
        <v>712</v>
      </c>
      <c r="B59" s="9" t="s">
        <v>271</v>
      </c>
      <c r="C59" s="9" t="s">
        <v>708</v>
      </c>
      <c r="D59" s="9" t="s">
        <v>619</v>
      </c>
      <c r="E59" s="9" t="s">
        <v>656</v>
      </c>
    </row>
    <row r="60" customFormat="false" ht="23.85" hidden="false" customHeight="false" outlineLevel="0" collapsed="false">
      <c r="A60" s="9" t="s">
        <v>680</v>
      </c>
      <c r="B60" s="9" t="s">
        <v>274</v>
      </c>
      <c r="C60" s="9" t="s">
        <v>714</v>
      </c>
      <c r="D60" s="9" t="s">
        <v>619</v>
      </c>
      <c r="E60" s="9" t="s">
        <v>656</v>
      </c>
    </row>
    <row r="61" customFormat="false" ht="15" hidden="false" customHeight="false" outlineLevel="0" collapsed="false">
      <c r="A61" s="9" t="s">
        <v>724</v>
      </c>
      <c r="B61" s="9" t="s">
        <v>276</v>
      </c>
      <c r="C61" s="9" t="s">
        <v>277</v>
      </c>
      <c r="D61" s="9" t="s">
        <v>619</v>
      </c>
      <c r="E61" s="9" t="s">
        <v>719</v>
      </c>
    </row>
    <row r="62" customFormat="false" ht="15" hidden="false" customHeight="false" outlineLevel="0" collapsed="false">
      <c r="A62" s="9" t="s">
        <v>730</v>
      </c>
      <c r="B62" s="9" t="s">
        <v>279</v>
      </c>
      <c r="C62" s="9" t="s">
        <v>726</v>
      </c>
      <c r="D62" s="9" t="s">
        <v>619</v>
      </c>
      <c r="E62" s="9"/>
    </row>
  </sheetData>
  <autoFilter ref="A4:E6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75"/>
    <col collapsed="false" customWidth="true" hidden="false" outlineLevel="0" max="3" min="3" style="0" width="45"/>
    <col collapsed="false" customWidth="true" hidden="false" outlineLevel="0" max="4" min="4" style="0" width="32"/>
  </cols>
  <sheetData>
    <row r="1" customFormat="false" ht="17.35" hidden="false" customHeight="false" outlineLevel="0" collapsed="false">
      <c r="A1" s="1" t="s">
        <v>1008</v>
      </c>
    </row>
    <row r="2" customFormat="false" ht="15" hidden="false" customHeight="false" outlineLevel="0" collapsed="false">
      <c r="A2" s="2" t="s">
        <v>1</v>
      </c>
    </row>
    <row r="4" customFormat="false" ht="15" hidden="false" customHeight="false" outlineLevel="0" collapsed="false">
      <c r="A4" s="7" t="s">
        <v>1009</v>
      </c>
      <c r="B4" s="7" t="s">
        <v>1010</v>
      </c>
      <c r="C4" s="7" t="s">
        <v>1011</v>
      </c>
      <c r="D4" s="7" t="s">
        <v>1012</v>
      </c>
    </row>
    <row r="5" customFormat="false" ht="15" hidden="false" customHeight="false" outlineLevel="0" collapsed="false">
      <c r="A5" s="9" t="s">
        <v>1013</v>
      </c>
      <c r="B5" s="9" t="s">
        <v>1014</v>
      </c>
      <c r="C5" s="9" t="s">
        <v>1015</v>
      </c>
      <c r="D5" s="9" t="s">
        <v>1016</v>
      </c>
    </row>
    <row r="6" customFormat="false" ht="15" hidden="false" customHeight="false" outlineLevel="0" collapsed="false">
      <c r="A6" s="9" t="s">
        <v>238</v>
      </c>
      <c r="B6" s="9" t="s">
        <v>1017</v>
      </c>
      <c r="C6" s="9" t="s">
        <v>1018</v>
      </c>
      <c r="D6" s="9" t="s">
        <v>1019</v>
      </c>
    </row>
    <row r="7" customFormat="false" ht="15" hidden="false" customHeight="false" outlineLevel="0" collapsed="false">
      <c r="A7" s="9" t="s">
        <v>242</v>
      </c>
      <c r="B7" s="9" t="s">
        <v>1020</v>
      </c>
      <c r="C7" s="9" t="s">
        <v>1021</v>
      </c>
      <c r="D7" s="9" t="s">
        <v>1022</v>
      </c>
    </row>
    <row r="8" customFormat="false" ht="15" hidden="false" customHeight="false" outlineLevel="0" collapsed="false">
      <c r="A8" s="9" t="s">
        <v>1023</v>
      </c>
      <c r="B8" s="9" t="s">
        <v>1024</v>
      </c>
      <c r="C8" s="9" t="s">
        <v>1025</v>
      </c>
      <c r="D8" s="9" t="s">
        <v>1026</v>
      </c>
    </row>
    <row r="9" customFormat="false" ht="15" hidden="false" customHeight="false" outlineLevel="0" collapsed="false">
      <c r="A9" s="9" t="s">
        <v>1027</v>
      </c>
      <c r="B9" s="9" t="s">
        <v>1028</v>
      </c>
      <c r="C9" s="9" t="s">
        <v>1029</v>
      </c>
      <c r="D9" s="9" t="s">
        <v>169</v>
      </c>
    </row>
    <row r="10" customFormat="false" ht="23.85" hidden="false" customHeight="false" outlineLevel="0" collapsed="false">
      <c r="A10" s="9" t="s">
        <v>1030</v>
      </c>
      <c r="B10" s="9" t="s">
        <v>1031</v>
      </c>
      <c r="C10" s="9" t="s">
        <v>1032</v>
      </c>
      <c r="D10" s="9" t="s">
        <v>1033</v>
      </c>
    </row>
    <row r="11" customFormat="false" ht="23.85" hidden="false" customHeight="false" outlineLevel="0" collapsed="false">
      <c r="A11" s="9" t="s">
        <v>1034</v>
      </c>
      <c r="B11" s="9" t="s">
        <v>1035</v>
      </c>
      <c r="C11" s="9" t="s">
        <v>1036</v>
      </c>
      <c r="D11" s="9" t="s">
        <v>1037</v>
      </c>
    </row>
    <row r="12" customFormat="false" ht="15" hidden="false" customHeight="false" outlineLevel="0" collapsed="false">
      <c r="A12" s="9" t="s">
        <v>1038</v>
      </c>
      <c r="B12" s="9" t="s">
        <v>1039</v>
      </c>
      <c r="C12" s="9" t="s">
        <v>1040</v>
      </c>
      <c r="D12" s="9" t="s">
        <v>1041</v>
      </c>
    </row>
    <row r="13" customFormat="false" ht="23.85" hidden="false" customHeight="false" outlineLevel="0" collapsed="false">
      <c r="A13" s="9" t="s">
        <v>1042</v>
      </c>
      <c r="B13" s="9" t="s">
        <v>1043</v>
      </c>
      <c r="C13" s="9" t="s">
        <v>1044</v>
      </c>
      <c r="D13" s="9" t="s">
        <v>1045</v>
      </c>
    </row>
    <row r="14" customFormat="false" ht="23.85" hidden="false" customHeight="false" outlineLevel="0" collapsed="false">
      <c r="A14" s="9" t="s">
        <v>1046</v>
      </c>
      <c r="B14" s="9" t="s">
        <v>1047</v>
      </c>
      <c r="C14" s="9" t="s">
        <v>1048</v>
      </c>
      <c r="D14" s="9" t="s">
        <v>1026</v>
      </c>
    </row>
    <row r="15" customFormat="false" ht="15" hidden="false" customHeight="false" outlineLevel="0" collapsed="false">
      <c r="A15" s="9" t="s">
        <v>1049</v>
      </c>
      <c r="B15" s="9" t="s">
        <v>1050</v>
      </c>
      <c r="C15" s="9" t="s">
        <v>1051</v>
      </c>
      <c r="D15" s="9" t="s">
        <v>1026</v>
      </c>
    </row>
    <row r="16" customFormat="false" ht="23.85" hidden="false" customHeight="false" outlineLevel="0" collapsed="false">
      <c r="A16" s="9" t="s">
        <v>1052</v>
      </c>
      <c r="B16" s="9" t="s">
        <v>1053</v>
      </c>
      <c r="C16" s="9" t="s">
        <v>1054</v>
      </c>
      <c r="D16" s="9" t="s">
        <v>1055</v>
      </c>
    </row>
    <row r="17" customFormat="false" ht="15" hidden="false" customHeight="false" outlineLevel="0" collapsed="false">
      <c r="A17" s="9" t="s">
        <v>1056</v>
      </c>
      <c r="B17" s="9" t="s">
        <v>1057</v>
      </c>
      <c r="C17" s="9" t="s">
        <v>1058</v>
      </c>
      <c r="D17" s="9" t="s">
        <v>1059</v>
      </c>
    </row>
    <row r="18" customFormat="false" ht="23.85" hidden="false" customHeight="false" outlineLevel="0" collapsed="false">
      <c r="A18" s="9" t="s">
        <v>1060</v>
      </c>
      <c r="B18" s="9" t="s">
        <v>1061</v>
      </c>
      <c r="C18" s="9" t="s">
        <v>1062</v>
      </c>
      <c r="D18" s="9" t="s">
        <v>1063</v>
      </c>
    </row>
    <row r="19" customFormat="false" ht="23.85" hidden="false" customHeight="false" outlineLevel="0" collapsed="false">
      <c r="A19" s="9" t="s">
        <v>1064</v>
      </c>
      <c r="B19" s="9" t="s">
        <v>1065</v>
      </c>
      <c r="C19" s="9" t="s">
        <v>1066</v>
      </c>
      <c r="D19" s="9" t="s">
        <v>1067</v>
      </c>
    </row>
    <row r="20" customFormat="false" ht="23.85" hidden="false" customHeight="false" outlineLevel="0" collapsed="false">
      <c r="A20" s="9" t="s">
        <v>1068</v>
      </c>
      <c r="B20" s="9" t="s">
        <v>1069</v>
      </c>
      <c r="C20" s="9" t="s">
        <v>1070</v>
      </c>
      <c r="D20" s="9" t="s">
        <v>216</v>
      </c>
    </row>
    <row r="21" customFormat="false" ht="23.85" hidden="false" customHeight="false" outlineLevel="0" collapsed="false">
      <c r="A21" s="9" t="s">
        <v>1071</v>
      </c>
      <c r="B21" s="9" t="s">
        <v>1072</v>
      </c>
      <c r="C21" s="9" t="s">
        <v>1073</v>
      </c>
      <c r="D21" s="9" t="s">
        <v>182</v>
      </c>
    </row>
    <row r="22" customFormat="false" ht="23.85" hidden="false" customHeight="false" outlineLevel="0" collapsed="false">
      <c r="A22" s="9" t="s">
        <v>1074</v>
      </c>
      <c r="B22" s="9" t="s">
        <v>1075</v>
      </c>
      <c r="C22" s="9" t="s">
        <v>1076</v>
      </c>
      <c r="D22" s="9" t="s">
        <v>1077</v>
      </c>
    </row>
    <row r="23" customFormat="false" ht="23.85" hidden="false" customHeight="false" outlineLevel="0" collapsed="false">
      <c r="A23" s="9" t="s">
        <v>1078</v>
      </c>
      <c r="B23" s="9" t="s">
        <v>1079</v>
      </c>
      <c r="C23" s="9" t="s">
        <v>1080</v>
      </c>
      <c r="D23" s="9" t="s">
        <v>1081</v>
      </c>
    </row>
    <row r="24" customFormat="false" ht="23.85" hidden="false" customHeight="false" outlineLevel="0" collapsed="false">
      <c r="A24" s="9" t="s">
        <v>1082</v>
      </c>
      <c r="B24" s="9" t="s">
        <v>1083</v>
      </c>
      <c r="C24" s="9" t="s">
        <v>1084</v>
      </c>
      <c r="D24" s="9" t="s">
        <v>1077</v>
      </c>
    </row>
    <row r="25" customFormat="false" ht="23.85" hidden="false" customHeight="false" outlineLevel="0" collapsed="false">
      <c r="A25" s="9" t="s">
        <v>1085</v>
      </c>
      <c r="B25" s="9" t="s">
        <v>1086</v>
      </c>
      <c r="C25" s="9" t="s">
        <v>1087</v>
      </c>
      <c r="D25" s="9" t="s">
        <v>1088</v>
      </c>
    </row>
    <row r="26" customFormat="false" ht="23.85" hidden="false" customHeight="false" outlineLevel="0" collapsed="false">
      <c r="A26" s="9" t="s">
        <v>1089</v>
      </c>
      <c r="B26" s="9" t="s">
        <v>1090</v>
      </c>
      <c r="C26" s="9" t="s">
        <v>1091</v>
      </c>
      <c r="D26" s="9" t="s">
        <v>260</v>
      </c>
    </row>
  </sheetData>
  <autoFilter ref="A4:D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95"/>
    <col collapsed="false" customWidth="true" hidden="false" outlineLevel="0" max="4" min="4" style="0" width="16"/>
    <col collapsed="false" customWidth="true" hidden="false" outlineLevel="0" max="5" min="5" style="0" width="30"/>
  </cols>
  <sheetData>
    <row r="1" customFormat="false" ht="17.35" hidden="false" customHeight="false" outlineLevel="0" collapsed="false">
      <c r="A1" s="1" t="s">
        <v>1092</v>
      </c>
    </row>
    <row r="2" customFormat="false" ht="15" hidden="false" customHeight="false" outlineLevel="0" collapsed="false">
      <c r="A2" s="2" t="s">
        <v>1093</v>
      </c>
    </row>
    <row r="4" customFormat="false" ht="15" hidden="false" customHeight="false" outlineLevel="0" collapsed="false">
      <c r="A4" s="7" t="s">
        <v>1009</v>
      </c>
      <c r="B4" s="7" t="s">
        <v>1094</v>
      </c>
      <c r="C4" s="7" t="s">
        <v>1095</v>
      </c>
      <c r="D4" s="7" t="s">
        <v>1096</v>
      </c>
      <c r="E4" s="7" t="s">
        <v>1097</v>
      </c>
    </row>
    <row r="5" customFormat="false" ht="35.05" hidden="false" customHeight="false" outlineLevel="0" collapsed="false">
      <c r="A5" s="9" t="n">
        <v>1</v>
      </c>
      <c r="B5" s="9" t="s">
        <v>1098</v>
      </c>
      <c r="C5" s="9" t="s">
        <v>1099</v>
      </c>
      <c r="D5" s="21" t="s">
        <v>1100</v>
      </c>
      <c r="E5" s="9"/>
    </row>
    <row r="6" customFormat="false" ht="23.85" hidden="false" customHeight="false" outlineLevel="0" collapsed="false">
      <c r="A6" s="9" t="n">
        <v>2</v>
      </c>
      <c r="B6" s="9" t="s">
        <v>1101</v>
      </c>
      <c r="C6" s="9" t="s">
        <v>1102</v>
      </c>
      <c r="D6" s="21" t="s">
        <v>1100</v>
      </c>
      <c r="E6" s="9"/>
    </row>
    <row r="7" customFormat="false" ht="23.85" hidden="false" customHeight="false" outlineLevel="0" collapsed="false">
      <c r="A7" s="9" t="n">
        <v>3</v>
      </c>
      <c r="B7" s="9" t="s">
        <v>1103</v>
      </c>
      <c r="C7" s="9" t="s">
        <v>1104</v>
      </c>
      <c r="D7" s="21" t="s">
        <v>1100</v>
      </c>
      <c r="E7" s="9"/>
    </row>
    <row r="8" customFormat="false" ht="15" hidden="false" customHeight="false" outlineLevel="0" collapsed="false">
      <c r="A8" s="9" t="n">
        <v>4</v>
      </c>
      <c r="B8" s="9" t="s">
        <v>1105</v>
      </c>
      <c r="C8" s="9" t="s">
        <v>1106</v>
      </c>
      <c r="D8" s="21" t="s">
        <v>1100</v>
      </c>
      <c r="E8" s="9"/>
    </row>
    <row r="9" customFormat="false" ht="15" hidden="false" customHeight="false" outlineLevel="0" collapsed="false">
      <c r="A9" s="9" t="n">
        <v>5</v>
      </c>
      <c r="B9" s="9" t="s">
        <v>1107</v>
      </c>
      <c r="C9" s="9" t="s">
        <v>1108</v>
      </c>
      <c r="D9" s="21" t="s">
        <v>1100</v>
      </c>
      <c r="E9" s="9"/>
    </row>
    <row r="10" customFormat="false" ht="15" hidden="false" customHeight="false" outlineLevel="0" collapsed="false">
      <c r="A10" s="9" t="n">
        <v>6</v>
      </c>
      <c r="B10" s="9" t="s">
        <v>1109</v>
      </c>
      <c r="C10" s="9" t="s">
        <v>1110</v>
      </c>
      <c r="D10" s="21" t="s">
        <v>1100</v>
      </c>
      <c r="E10" s="9"/>
    </row>
    <row r="11" customFormat="false" ht="15" hidden="false" customHeight="false" outlineLevel="0" collapsed="false">
      <c r="A11" s="9" t="n">
        <v>7</v>
      </c>
      <c r="B11" s="9" t="s">
        <v>1111</v>
      </c>
      <c r="C11" s="9" t="s">
        <v>1112</v>
      </c>
      <c r="D11" s="21" t="s">
        <v>1100</v>
      </c>
      <c r="E11" s="9"/>
    </row>
    <row r="12" customFormat="false" ht="15" hidden="false" customHeight="false" outlineLevel="0" collapsed="false">
      <c r="A12" s="9" t="n">
        <v>8</v>
      </c>
      <c r="B12" s="9" t="s">
        <v>1113</v>
      </c>
      <c r="C12" s="9" t="s">
        <v>1114</v>
      </c>
      <c r="D12" s="21" t="s">
        <v>1100</v>
      </c>
      <c r="E12" s="9"/>
    </row>
    <row r="13" customFormat="false" ht="23.85" hidden="false" customHeight="false" outlineLevel="0" collapsed="false">
      <c r="A13" s="9" t="n">
        <v>9</v>
      </c>
      <c r="B13" s="9" t="s">
        <v>1115</v>
      </c>
      <c r="C13" s="9" t="s">
        <v>1116</v>
      </c>
      <c r="D13" s="21" t="s">
        <v>1100</v>
      </c>
      <c r="E13" s="9"/>
    </row>
    <row r="14" customFormat="false" ht="15" hidden="false" customHeight="false" outlineLevel="0" collapsed="false">
      <c r="A14" s="9" t="n">
        <v>10</v>
      </c>
      <c r="B14" s="9" t="s">
        <v>1117</v>
      </c>
      <c r="C14" s="9" t="s">
        <v>1118</v>
      </c>
      <c r="D14" s="21" t="s">
        <v>1100</v>
      </c>
      <c r="E14" s="9"/>
    </row>
    <row r="15" customFormat="false" ht="15" hidden="false" customHeight="false" outlineLevel="0" collapsed="false">
      <c r="A15" s="9" t="n">
        <v>11</v>
      </c>
      <c r="B15" s="9" t="s">
        <v>1119</v>
      </c>
      <c r="C15" s="9" t="s">
        <v>1120</v>
      </c>
      <c r="D15" s="21" t="s">
        <v>1100</v>
      </c>
      <c r="E15" s="9"/>
    </row>
    <row r="16" customFormat="false" ht="15" hidden="false" customHeight="false" outlineLevel="0" collapsed="false">
      <c r="A16" s="9" t="n">
        <v>12</v>
      </c>
      <c r="B16" s="9" t="s">
        <v>1121</v>
      </c>
      <c r="C16" s="9" t="s">
        <v>1122</v>
      </c>
      <c r="D16" s="21" t="s">
        <v>1100</v>
      </c>
      <c r="E16" s="9"/>
    </row>
    <row r="17" customFormat="false" ht="15" hidden="false" customHeight="false" outlineLevel="0" collapsed="false">
      <c r="A17" s="9" t="n">
        <v>13</v>
      </c>
      <c r="B17" s="9" t="s">
        <v>1123</v>
      </c>
      <c r="C17" s="9" t="s">
        <v>1124</v>
      </c>
      <c r="D17" s="21" t="s">
        <v>1100</v>
      </c>
      <c r="E17" s="9"/>
    </row>
    <row r="18" customFormat="false" ht="15" hidden="false" customHeight="false" outlineLevel="0" collapsed="false">
      <c r="A18" s="9" t="n">
        <v>14</v>
      </c>
      <c r="B18" s="9" t="s">
        <v>1125</v>
      </c>
      <c r="C18" s="9" t="s">
        <v>1126</v>
      </c>
      <c r="D18" s="21" t="s">
        <v>1100</v>
      </c>
      <c r="E18" s="9"/>
    </row>
    <row r="19" customFormat="false" ht="23.85" hidden="false" customHeight="false" outlineLevel="0" collapsed="false">
      <c r="A19" s="9" t="n">
        <v>15</v>
      </c>
      <c r="B19" s="9" t="s">
        <v>1127</v>
      </c>
      <c r="C19" s="9" t="s">
        <v>1128</v>
      </c>
      <c r="D19" s="21" t="s">
        <v>1100</v>
      </c>
      <c r="E19" s="9"/>
    </row>
    <row r="20" customFormat="false" ht="23.85" hidden="false" customHeight="false" outlineLevel="0" collapsed="false">
      <c r="A20" s="9" t="n">
        <v>16</v>
      </c>
      <c r="B20" s="9" t="s">
        <v>1129</v>
      </c>
      <c r="C20" s="9" t="s">
        <v>1130</v>
      </c>
      <c r="D20" s="21" t="s">
        <v>1100</v>
      </c>
      <c r="E20" s="9"/>
    </row>
  </sheetData>
  <autoFilter ref="A4:E20"/>
  <dataValidations count="1">
    <dataValidation allowBlank="true" errorStyle="stop" operator="between" showDropDown="false" showErrorMessage="false" showInputMessage="false" sqref="D5:D20" type="list">
      <formula1>"Not asked yet,Asked,Agreed,Refused"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2026-09-30T05:24:23Z</dcterms:created>
  <dc:creator>openpyxl</dc:creator>
  <dc:description/>
  <dc:language>en-US</dc:language>
  <cp:lastModifiedBy/>
  <dcterms:modified xsi:type="dcterms:W3CDTF">2026-09-30T05:24:24Z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